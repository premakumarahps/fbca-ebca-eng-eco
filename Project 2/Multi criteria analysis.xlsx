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research" sheetId="1" r:id="rId4"/>
  </sheets>
  <definedNames/>
  <calcPr/>
</workbook>
</file>

<file path=xl/sharedStrings.xml><?xml version="1.0" encoding="utf-8"?>
<sst xmlns="http://schemas.openxmlformats.org/spreadsheetml/2006/main" count="180" uniqueCount="42">
  <si>
    <t>Pairwise Critearia Comparison</t>
  </si>
  <si>
    <t>Criteria</t>
  </si>
  <si>
    <t>Cost</t>
  </si>
  <si>
    <t>Env. Impact</t>
  </si>
  <si>
    <t>Lifetime</t>
  </si>
  <si>
    <t>Soc. Impact</t>
  </si>
  <si>
    <t>Energy Yield</t>
  </si>
  <si>
    <t>Sum</t>
  </si>
  <si>
    <t>Normalizing</t>
  </si>
  <si>
    <t>averages</t>
  </si>
  <si>
    <t>precentage</t>
  </si>
  <si>
    <t>sum</t>
  </si>
  <si>
    <t>Pairwise Comparison</t>
  </si>
  <si>
    <t>COST</t>
  </si>
  <si>
    <t>Project</t>
  </si>
  <si>
    <t>Total Investment Cost (LKR)</t>
  </si>
  <si>
    <t>Capacity (MW)</t>
  </si>
  <si>
    <t>Cost per MW (LKR Billion)</t>
  </si>
  <si>
    <t xml:space="preserve">Siyambalanduwa </t>
  </si>
  <si>
    <t>14.83 Billion</t>
  </si>
  <si>
    <t>100 MW</t>
  </si>
  <si>
    <t>Batticaloa Solar</t>
  </si>
  <si>
    <t>~33 Billion</t>
  </si>
  <si>
    <t>Hambantota Wind</t>
  </si>
  <si>
    <t>~42.7 Billion (est.)</t>
  </si>
  <si>
    <t>100 MW (est.)¹</t>
  </si>
  <si>
    <t>Mannar Wind</t>
  </si>
  <si>
    <t>~43.3 Billion (est.)</t>
  </si>
  <si>
    <t>103.5 MW</t>
  </si>
  <si>
    <t>Siyambalanduwa</t>
  </si>
  <si>
    <t>Batticaloa</t>
  </si>
  <si>
    <t>Hambantota</t>
  </si>
  <si>
    <t>Mannar</t>
  </si>
  <si>
    <t>Average</t>
  </si>
  <si>
    <t>Environmental Impact</t>
  </si>
  <si>
    <t>Annual Energy Yield (GWh)</t>
  </si>
  <si>
    <t xml:space="preserve"> Final Synthesis and Project Ranking</t>
  </si>
  <si>
    <t>Weight</t>
  </si>
  <si>
    <t>Siyambalandu</t>
  </si>
  <si>
    <t>Weighted Score</t>
  </si>
  <si>
    <t>Total Score</t>
  </si>
  <si>
    <t>Final 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</si>
</sst>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sz val="10.0"/>
      <color/>
      <name val="Arial"/>
    </font>
    <font>
      <sz val="10.0"/>
      <color rgb="FFFF0000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DE49A"/>
        <bgColor rgb="FFFDE49A"/>
      </patternFill>
    </fill>
    <fill>
      <patternFill patternType="solid">
        <fgColor rgb="FFB3CEFA"/>
        <bgColor rgb="FFB3CEFA"/>
      </patternFill>
    </fill>
    <fill>
      <patternFill patternType="solid">
        <fgColor rgb="FF92D050"/>
        <bgColor rgb="FF92D050"/>
      </patternFill>
    </fill>
    <fill>
      <patternFill patternType="solid">
        <fgColor rgb="FFF6B3AE"/>
        <bgColor rgb="FFF6B3AE"/>
      </patternFill>
    </fill>
    <fill>
      <patternFill patternType="solid">
        <fgColor rgb="FFF2F2F2"/>
        <bgColor rgb="FFF2F2F2"/>
      </patternFill>
    </fill>
  </fills>
  <borders count="6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</border>
    <border>
      <left style="medium">
        <color rgb="FFCCCCCC"/>
      </left>
      <right style="medium">
        <color rgb="FFCCCCCC"/>
      </right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1" numFmtId="0" xfId="0" applyFont="1"/>
    <xf borderId="1" fillId="3" fontId="1" numFmtId="0" xfId="0" applyBorder="1" applyFill="1" applyFont="1"/>
    <xf borderId="0" fillId="0" fontId="2" numFmtId="0" xfId="0" applyFont="1"/>
    <xf borderId="1" fillId="3" fontId="1" numFmtId="164" xfId="0" applyBorder="1" applyFont="1" applyNumberFormat="1"/>
    <xf borderId="1" fillId="3" fontId="3" numFmtId="164" xfId="0" applyBorder="1" applyFont="1" applyNumberFormat="1"/>
    <xf borderId="1" fillId="3" fontId="3" numFmtId="2" xfId="0" applyBorder="1" applyFont="1" applyNumberFormat="1"/>
    <xf borderId="1" fillId="3" fontId="3" numFmtId="0" xfId="0" applyBorder="1" applyFont="1"/>
    <xf borderId="1" fillId="4" fontId="1" numFmtId="0" xfId="0" applyBorder="1" applyFill="1" applyFont="1"/>
    <xf borderId="1" fillId="5" fontId="3" numFmtId="0" xfId="0" applyBorder="1" applyFill="1" applyFont="1"/>
    <xf borderId="2" fillId="6" fontId="3" numFmtId="0" xfId="0" applyAlignment="1" applyBorder="1" applyFill="1" applyFont="1">
      <alignment shrinkToFit="0" wrapText="1"/>
    </xf>
    <xf borderId="2" fillId="6" fontId="3" numFmtId="0" xfId="0" applyAlignment="1" applyBorder="1" applyFont="1">
      <alignment vertical="center"/>
    </xf>
    <xf borderId="2" fillId="6" fontId="3" numFmtId="0" xfId="0" applyAlignment="1" applyBorder="1" applyFont="1">
      <alignment horizontal="right" shrinkToFit="0" wrapText="1"/>
    </xf>
    <xf borderId="3" fillId="0" fontId="3" numFmtId="0" xfId="0" applyAlignment="1" applyBorder="1" applyFont="1">
      <alignment shrinkToFit="0" wrapText="1"/>
    </xf>
    <xf borderId="0" fillId="0" fontId="3" numFmtId="0" xfId="0" applyFont="1"/>
    <xf borderId="4" fillId="0" fontId="3" numFmtId="164" xfId="0" applyAlignment="1" applyBorder="1" applyFont="1" applyNumberFormat="1">
      <alignment horizontal="right" shrinkToFit="0" wrapText="1"/>
    </xf>
    <xf borderId="2" fillId="2" fontId="3" numFmtId="0" xfId="0" applyAlignment="1" applyBorder="1" applyFont="1">
      <alignment shrinkToFit="0" wrapText="1"/>
    </xf>
    <xf borderId="2" fillId="3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5" fillId="3" fontId="3" numFmtId="0" xfId="0" applyAlignment="1" applyBorder="1" applyFont="1">
      <alignment shrinkToFit="0" wrapText="1"/>
    </xf>
    <xf borderId="2" fillId="0" fontId="3" numFmtId="2" xfId="0" applyAlignment="1" applyBorder="1" applyFont="1" applyNumberFormat="1">
      <alignment horizontal="right" shrinkToFit="0" wrapText="1"/>
    </xf>
    <xf borderId="2" fillId="0" fontId="3" numFmtId="0" xfId="0" applyAlignment="1" applyBorder="1" applyFont="1">
      <alignment horizontal="right" shrinkToFit="0" wrapText="1"/>
    </xf>
    <xf borderId="2" fillId="0" fontId="3" numFmtId="164" xfId="0" applyAlignment="1" applyBorder="1" applyFont="1" applyNumberFormat="1">
      <alignment horizontal="right" shrinkToFit="0" wrapText="1"/>
    </xf>
    <xf borderId="0" fillId="0" fontId="3" numFmtId="164" xfId="0" applyFont="1" applyNumberFormat="1"/>
    <xf borderId="2" fillId="0" fontId="3" numFmtId="0" xfId="0" applyAlignment="1" applyBorder="1" applyFont="1">
      <alignment vertical="center"/>
    </xf>
    <xf borderId="2" fillId="0" fontId="3" numFmtId="0" xfId="0" applyAlignment="1" applyBorder="1" applyFont="1">
      <alignment shrinkToFit="0" wrapText="1"/>
    </xf>
    <xf borderId="2" fillId="3" fontId="3" numFmtId="0" xfId="0" applyAlignment="1" applyBorder="1" applyFont="1">
      <alignment horizontal="right" shrinkToFit="0" wrapText="1"/>
    </xf>
    <xf borderId="2" fillId="2" fontId="3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57"/>
    <col customWidth="1" min="3" max="3" width="12.71"/>
    <col customWidth="1" min="4" max="4" width="14.71"/>
    <col customWidth="1" min="5" max="6" width="12.71"/>
    <col customWidth="1" min="7" max="7" width="18.71"/>
    <col customWidth="1" min="8" max="8" width="16.0"/>
    <col customWidth="1" min="9" max="32" width="12.71"/>
  </cols>
  <sheetData>
    <row r="1" ht="15.75" customHeight="1"/>
    <row r="2" ht="15.75" customHeight="1">
      <c r="A2" s="1" t="s">
        <v>0</v>
      </c>
      <c r="B2" s="1"/>
    </row>
    <row r="3" ht="15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/>
    </row>
    <row r="4" ht="15.75" customHeight="1">
      <c r="A4" s="2" t="s">
        <v>2</v>
      </c>
      <c r="B4" s="4">
        <v>1.0</v>
      </c>
      <c r="C4" s="4">
        <v>4.0</v>
      </c>
      <c r="D4" s="4">
        <v>5.0</v>
      </c>
      <c r="E4" s="4">
        <v>3.0</v>
      </c>
      <c r="F4" s="4">
        <v>3.0</v>
      </c>
      <c r="G4" s="3"/>
    </row>
    <row r="5" ht="15.75" customHeight="1">
      <c r="A5" s="2" t="s">
        <v>3</v>
      </c>
      <c r="B5" s="4">
        <v>0.25</v>
      </c>
      <c r="C5" s="4">
        <v>1.0</v>
      </c>
      <c r="D5" s="4">
        <v>2.0</v>
      </c>
      <c r="E5" s="4">
        <v>0.5</v>
      </c>
      <c r="F5" s="4">
        <v>1.0</v>
      </c>
      <c r="G5" s="3"/>
    </row>
    <row r="6" ht="15.75" customHeight="1">
      <c r="A6" s="2" t="s">
        <v>4</v>
      </c>
      <c r="B6" s="4">
        <v>0.2</v>
      </c>
      <c r="C6" s="4">
        <v>0.5</v>
      </c>
      <c r="D6" s="4">
        <v>1.0</v>
      </c>
      <c r="E6" s="4">
        <v>0.33</v>
      </c>
      <c r="F6" s="4">
        <v>0.5</v>
      </c>
      <c r="G6" s="3"/>
    </row>
    <row r="7" ht="15.75" customHeight="1">
      <c r="A7" s="2" t="s">
        <v>5</v>
      </c>
      <c r="B7" s="4">
        <v>0.33</v>
      </c>
      <c r="C7" s="4">
        <v>2.0</v>
      </c>
      <c r="D7" s="4">
        <v>3.0</v>
      </c>
      <c r="E7" s="4">
        <v>1.0</v>
      </c>
      <c r="F7" s="4">
        <v>2.0</v>
      </c>
      <c r="G7" s="3"/>
    </row>
    <row r="8" ht="15.75" customHeight="1">
      <c r="A8" s="2" t="s">
        <v>6</v>
      </c>
      <c r="B8" s="4">
        <v>0.33</v>
      </c>
      <c r="C8" s="4">
        <v>1.0</v>
      </c>
      <c r="D8" s="4">
        <v>2.0</v>
      </c>
      <c r="E8" s="4">
        <v>0.5</v>
      </c>
      <c r="F8" s="4">
        <v>1.0</v>
      </c>
      <c r="G8" s="3"/>
    </row>
    <row r="9" ht="15.75" customHeight="1">
      <c r="A9" s="2" t="s">
        <v>7</v>
      </c>
      <c r="B9" s="4">
        <v>2.11</v>
      </c>
      <c r="C9" s="4">
        <v>8.5</v>
      </c>
      <c r="D9" s="4">
        <v>13.0</v>
      </c>
      <c r="E9" s="4">
        <v>5.33</v>
      </c>
      <c r="F9" s="4">
        <v>7.5</v>
      </c>
      <c r="G9" s="3"/>
    </row>
    <row r="10" ht="15.75" customHeight="1"/>
    <row r="11" ht="15.75" customHeight="1">
      <c r="A11" s="5" t="s">
        <v>8</v>
      </c>
    </row>
    <row r="12" ht="15.75" customHeight="1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9</v>
      </c>
      <c r="H12" s="2" t="s">
        <v>10</v>
      </c>
    </row>
    <row r="13" ht="15.75" customHeight="1">
      <c r="A13" s="2" t="s">
        <v>2</v>
      </c>
      <c r="B13" s="6" t="str">
        <f t="shared" ref="B13:B17" si="1">B4/$B$9</f>
        <v>0.474</v>
      </c>
      <c r="C13" s="6" t="str">
        <f t="shared" ref="C13:C17" si="2">C4/$C$9</f>
        <v>0.471</v>
      </c>
      <c r="D13" s="6" t="str">
        <f t="shared" ref="D13:D17" si="3">D4/$D$9</f>
        <v>0.385</v>
      </c>
      <c r="E13" s="6" t="str">
        <f t="shared" ref="E13:E17" si="4">E4/$E$9</f>
        <v>0.563</v>
      </c>
      <c r="F13" s="6" t="str">
        <f t="shared" ref="F13:F17" si="5">F4/$F$9</f>
        <v>0.400</v>
      </c>
      <c r="G13" s="7" t="str">
        <f t="shared" ref="G13:G17" si="6">AVERAGE(B13:F13)</f>
        <v>0.458</v>
      </c>
      <c r="H13" s="8" t="str">
        <f t="shared" ref="H13:H17" si="7">G13*100</f>
        <v>45.84</v>
      </c>
    </row>
    <row r="14" ht="15.75" customHeight="1">
      <c r="A14" s="2" t="s">
        <v>3</v>
      </c>
      <c r="B14" s="6" t="str">
        <f t="shared" si="1"/>
        <v>0.118</v>
      </c>
      <c r="C14" s="6" t="str">
        <f t="shared" si="2"/>
        <v>0.118</v>
      </c>
      <c r="D14" s="6" t="str">
        <f t="shared" si="3"/>
        <v>0.154</v>
      </c>
      <c r="E14" s="6" t="str">
        <f t="shared" si="4"/>
        <v>0.094</v>
      </c>
      <c r="F14" s="6" t="str">
        <f t="shared" si="5"/>
        <v>0.133</v>
      </c>
      <c r="G14" s="7" t="str">
        <f t="shared" si="6"/>
        <v>0.123</v>
      </c>
      <c r="H14" s="8" t="str">
        <f t="shared" si="7"/>
        <v>12.34</v>
      </c>
    </row>
    <row r="15" ht="15.75" customHeight="1">
      <c r="A15" s="2" t="s">
        <v>4</v>
      </c>
      <c r="B15" s="6" t="str">
        <f t="shared" si="1"/>
        <v>0.095</v>
      </c>
      <c r="C15" s="6" t="str">
        <f t="shared" si="2"/>
        <v>0.059</v>
      </c>
      <c r="D15" s="6" t="str">
        <f t="shared" si="3"/>
        <v>0.077</v>
      </c>
      <c r="E15" s="6" t="str">
        <f t="shared" si="4"/>
        <v>0.062</v>
      </c>
      <c r="F15" s="6" t="str">
        <f t="shared" si="5"/>
        <v>0.067</v>
      </c>
      <c r="G15" s="7" t="str">
        <f t="shared" si="6"/>
        <v>0.072</v>
      </c>
      <c r="H15" s="8" t="str">
        <f t="shared" si="7"/>
        <v>7.18</v>
      </c>
    </row>
    <row r="16" ht="15.75" customHeight="1">
      <c r="A16" s="2" t="s">
        <v>5</v>
      </c>
      <c r="B16" s="6" t="str">
        <f t="shared" si="1"/>
        <v>0.156</v>
      </c>
      <c r="C16" s="6" t="str">
        <f t="shared" si="2"/>
        <v>0.235</v>
      </c>
      <c r="D16" s="6" t="str">
        <f t="shared" si="3"/>
        <v>0.231</v>
      </c>
      <c r="E16" s="6" t="str">
        <f t="shared" si="4"/>
        <v>0.188</v>
      </c>
      <c r="F16" s="6" t="str">
        <f t="shared" si="5"/>
        <v>0.267</v>
      </c>
      <c r="G16" s="7" t="str">
        <f t="shared" si="6"/>
        <v>0.215</v>
      </c>
      <c r="H16" s="8" t="str">
        <f t="shared" si="7"/>
        <v>21.53</v>
      </c>
    </row>
    <row r="17" ht="15.75" customHeight="1">
      <c r="A17" s="2" t="s">
        <v>6</v>
      </c>
      <c r="B17" s="6" t="str">
        <f t="shared" si="1"/>
        <v>0.156</v>
      </c>
      <c r="C17" s="6" t="str">
        <f t="shared" si="2"/>
        <v>0.118</v>
      </c>
      <c r="D17" s="6" t="str">
        <f t="shared" si="3"/>
        <v>0.154</v>
      </c>
      <c r="E17" s="6" t="str">
        <f t="shared" si="4"/>
        <v>0.094</v>
      </c>
      <c r="F17" s="6" t="str">
        <f t="shared" si="5"/>
        <v>0.133</v>
      </c>
      <c r="G17" s="7" t="str">
        <f t="shared" si="6"/>
        <v>0.131</v>
      </c>
      <c r="H17" s="8" t="str">
        <f t="shared" si="7"/>
        <v>13.10</v>
      </c>
    </row>
    <row r="18" ht="15.75" customHeight="1">
      <c r="A18" s="2" t="s">
        <v>11</v>
      </c>
      <c r="B18" s="6" t="str">
        <f t="shared" ref="B18:F18" si="8">SUM(B13:B17)</f>
        <v>1.000</v>
      </c>
      <c r="C18" s="6" t="str">
        <f t="shared" si="8"/>
        <v>1.000</v>
      </c>
      <c r="D18" s="6" t="str">
        <f t="shared" si="8"/>
        <v>1.000</v>
      </c>
      <c r="E18" s="6" t="str">
        <f t="shared" si="8"/>
        <v>1.000</v>
      </c>
      <c r="F18" s="6" t="str">
        <f t="shared" si="8"/>
        <v>1.000</v>
      </c>
      <c r="G18" s="9"/>
      <c r="H18" s="8"/>
    </row>
    <row r="19" ht="15.75" customHeight="1"/>
    <row r="20" ht="15.75" customHeight="1">
      <c r="A20" s="10" t="s">
        <v>12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ht="15.75" customHeight="1"/>
    <row r="22" ht="15.75" customHeight="1"/>
    <row r="23" ht="15.75" customHeight="1">
      <c r="A23" s="11" t="s">
        <v>13</v>
      </c>
    </row>
    <row r="24" ht="15.75" customHeight="1">
      <c r="A24" s="12" t="s">
        <v>14</v>
      </c>
      <c r="B24" s="12" t="s">
        <v>15</v>
      </c>
      <c r="C24" s="12" t="s">
        <v>16</v>
      </c>
      <c r="D24" s="13" t="s">
        <v>17</v>
      </c>
    </row>
    <row r="25" ht="15.75" customHeight="1">
      <c r="A25" s="12" t="s">
        <v>18</v>
      </c>
      <c r="B25" s="12" t="s">
        <v>19</v>
      </c>
      <c r="C25" s="12" t="s">
        <v>20</v>
      </c>
      <c r="D25" s="14">
        <v>0.148</v>
      </c>
    </row>
    <row r="26" ht="15.75" customHeight="1">
      <c r="A26" s="12" t="s">
        <v>21</v>
      </c>
      <c r="B26" s="12" t="s">
        <v>22</v>
      </c>
      <c r="C26" s="12" t="s">
        <v>20</v>
      </c>
      <c r="D26" s="14">
        <v>0.33</v>
      </c>
    </row>
    <row r="27" ht="15.75" customHeight="1">
      <c r="A27" s="12" t="s">
        <v>23</v>
      </c>
      <c r="B27" s="12" t="s">
        <v>24</v>
      </c>
      <c r="C27" s="12" t="s">
        <v>25</v>
      </c>
      <c r="D27" s="14">
        <v>0.427</v>
      </c>
    </row>
    <row r="28" ht="15.75" customHeight="1">
      <c r="A28" s="12" t="s">
        <v>26</v>
      </c>
      <c r="B28" s="12" t="s">
        <v>27</v>
      </c>
      <c r="C28" s="12" t="s">
        <v>28</v>
      </c>
      <c r="D28" s="14">
        <v>0.418</v>
      </c>
    </row>
    <row r="29" ht="15.75" customHeight="1">
      <c r="M29" s="15"/>
    </row>
    <row r="30" ht="15.75" customHeight="1">
      <c r="G30" s="16" t="s">
        <v>8</v>
      </c>
      <c r="M30" s="17"/>
    </row>
    <row r="31" ht="15.75" customHeight="1">
      <c r="A31" s="18" t="s">
        <v>2</v>
      </c>
      <c r="B31" s="19" t="s">
        <v>29</v>
      </c>
      <c r="C31" s="19" t="s">
        <v>30</v>
      </c>
      <c r="D31" s="19" t="s">
        <v>31</v>
      </c>
      <c r="E31" s="19" t="s">
        <v>32</v>
      </c>
      <c r="F31" s="20"/>
      <c r="G31" s="18" t="s">
        <v>2</v>
      </c>
      <c r="H31" s="19" t="s">
        <v>29</v>
      </c>
      <c r="I31" s="19" t="s">
        <v>30</v>
      </c>
      <c r="J31" s="19" t="s">
        <v>31</v>
      </c>
      <c r="K31" s="19" t="s">
        <v>32</v>
      </c>
      <c r="L31" s="21" t="s">
        <v>33</v>
      </c>
      <c r="M31" s="17"/>
    </row>
    <row r="32" ht="15.75" customHeight="1">
      <c r="A32" s="19" t="s">
        <v>29</v>
      </c>
      <c r="B32" s="22">
        <v>1.0</v>
      </c>
      <c r="C32" s="22" t="str">
        <f>D26/D25</f>
        <v>2.23</v>
      </c>
      <c r="D32" s="22" t="str">
        <f>D27/D25</f>
        <v>2.89</v>
      </c>
      <c r="E32" s="22" t="str">
        <f>D28/D25</f>
        <v>2.82</v>
      </c>
      <c r="F32" s="23"/>
      <c r="G32" s="19" t="s">
        <v>29</v>
      </c>
      <c r="H32" s="24" t="str">
        <f t="shared" ref="H32:K32" si="9">B32/B36</f>
        <v>0.465</v>
      </c>
      <c r="I32" s="24" t="str">
        <f t="shared" si="9"/>
        <v>0.465</v>
      </c>
      <c r="J32" s="24" t="str">
        <f t="shared" si="9"/>
        <v>0.465</v>
      </c>
      <c r="K32" s="24" t="str">
        <f t="shared" si="9"/>
        <v>0.462</v>
      </c>
      <c r="L32" s="25" t="str">
        <f t="shared" ref="L32:L35" si="11">AVERAGE(H32:K32)</f>
        <v>0.464</v>
      </c>
      <c r="M32" s="17"/>
    </row>
    <row r="33" ht="15.75" customHeight="1">
      <c r="A33" s="19" t="s">
        <v>30</v>
      </c>
      <c r="B33" s="22" t="str">
        <f>D25/D26</f>
        <v>0.45</v>
      </c>
      <c r="C33" s="22">
        <v>1.0</v>
      </c>
      <c r="D33" s="22">
        <v>1.3</v>
      </c>
      <c r="E33" s="22">
        <v>1.31</v>
      </c>
      <c r="F33" s="23"/>
      <c r="G33" s="19" t="s">
        <v>30</v>
      </c>
      <c r="H33" s="24" t="str">
        <f t="shared" ref="H33:K33" si="10">B33/B36</f>
        <v>0.209</v>
      </c>
      <c r="I33" s="24" t="str">
        <f t="shared" si="10"/>
        <v>0.209</v>
      </c>
      <c r="J33" s="24" t="str">
        <f t="shared" si="10"/>
        <v>0.209</v>
      </c>
      <c r="K33" s="24" t="str">
        <f t="shared" si="10"/>
        <v>0.214</v>
      </c>
      <c r="L33" s="25" t="str">
        <f t="shared" si="11"/>
        <v>0.210</v>
      </c>
      <c r="M33" s="17"/>
    </row>
    <row r="34" ht="15.75" customHeight="1">
      <c r="A34" s="19" t="s">
        <v>31</v>
      </c>
      <c r="B34" s="22" t="str">
        <f>D25/D27</f>
        <v>0.35</v>
      </c>
      <c r="C34" s="22" t="str">
        <f>D26/D27</f>
        <v>0.77</v>
      </c>
      <c r="D34" s="22">
        <v>1.0</v>
      </c>
      <c r="E34" s="22" t="str">
        <f>D28/D27</f>
        <v>0.98</v>
      </c>
      <c r="F34" s="23"/>
      <c r="G34" s="19" t="s">
        <v>31</v>
      </c>
      <c r="H34" s="24" t="str">
        <f t="shared" ref="H34:K34" si="12">B34/B36</f>
        <v>0.161</v>
      </c>
      <c r="I34" s="24" t="str">
        <f t="shared" si="12"/>
        <v>0.161</v>
      </c>
      <c r="J34" s="24" t="str">
        <f t="shared" si="12"/>
        <v>0.161</v>
      </c>
      <c r="K34" s="24" t="str">
        <f t="shared" si="12"/>
        <v>0.160</v>
      </c>
      <c r="L34" s="25" t="str">
        <f t="shared" si="11"/>
        <v>0.161</v>
      </c>
      <c r="M34" s="25"/>
    </row>
    <row r="35" ht="15.75" customHeight="1">
      <c r="A35" s="19" t="s">
        <v>32</v>
      </c>
      <c r="B35" s="22" t="str">
        <f>D25/D28</f>
        <v>0.35</v>
      </c>
      <c r="C35" s="22" t="str">
        <f>D26/D28</f>
        <v>0.79</v>
      </c>
      <c r="D35" s="22" t="str">
        <f>D27/D28</f>
        <v>1.02</v>
      </c>
      <c r="E35" s="22">
        <v>1.0</v>
      </c>
      <c r="F35" s="23"/>
      <c r="G35" s="19" t="s">
        <v>32</v>
      </c>
      <c r="H35" s="24" t="str">
        <f t="shared" ref="H35:K35" si="13">B35/B36</f>
        <v>0.165</v>
      </c>
      <c r="I35" s="24" t="str">
        <f t="shared" si="13"/>
        <v>0.165</v>
      </c>
      <c r="J35" s="24" t="str">
        <f t="shared" si="13"/>
        <v>0.165</v>
      </c>
      <c r="K35" s="24" t="str">
        <f t="shared" si="13"/>
        <v>0.164</v>
      </c>
      <c r="L35" s="25" t="str">
        <f t="shared" si="11"/>
        <v>0.164</v>
      </c>
    </row>
    <row r="36" ht="15.75" customHeight="1">
      <c r="A36" s="19" t="s">
        <v>7</v>
      </c>
      <c r="B36" s="22" t="str">
        <f t="shared" ref="B36:E36" si="14">SUM(B32:B35)</f>
        <v>2.15</v>
      </c>
      <c r="C36" s="22" t="str">
        <f t="shared" si="14"/>
        <v>4.79</v>
      </c>
      <c r="D36" s="22" t="str">
        <f t="shared" si="14"/>
        <v>6.21</v>
      </c>
      <c r="E36" s="22" t="str">
        <f t="shared" si="14"/>
        <v>6.11</v>
      </c>
      <c r="F36" s="23"/>
      <c r="G36" s="15"/>
    </row>
    <row r="37" ht="15.75" customHeight="1"/>
    <row r="38" ht="15.75" customHeight="1"/>
    <row r="39" ht="15.75" customHeight="1">
      <c r="A39" s="11" t="s">
        <v>34</v>
      </c>
    </row>
    <row r="40" ht="15.75" customHeight="1">
      <c r="G40" s="16" t="s">
        <v>8</v>
      </c>
    </row>
    <row r="41" ht="15.75" customHeight="1">
      <c r="A41" s="18" t="s">
        <v>3</v>
      </c>
      <c r="B41" s="19" t="s">
        <v>29</v>
      </c>
      <c r="C41" s="19" t="s">
        <v>30</v>
      </c>
      <c r="D41" s="19" t="s">
        <v>31</v>
      </c>
      <c r="E41" s="19" t="s">
        <v>32</v>
      </c>
      <c r="F41" s="20"/>
      <c r="G41" s="18" t="s">
        <v>3</v>
      </c>
      <c r="H41" s="19" t="s">
        <v>29</v>
      </c>
      <c r="I41" s="19" t="s">
        <v>30</v>
      </c>
      <c r="J41" s="19" t="s">
        <v>31</v>
      </c>
      <c r="K41" s="19" t="s">
        <v>32</v>
      </c>
      <c r="L41" s="21" t="s">
        <v>33</v>
      </c>
    </row>
    <row r="42" ht="15.75" customHeight="1">
      <c r="A42" s="19" t="s">
        <v>29</v>
      </c>
      <c r="B42" s="23">
        <v>1.0</v>
      </c>
      <c r="C42" s="23">
        <v>3.0</v>
      </c>
      <c r="D42" s="23">
        <v>5.0</v>
      </c>
      <c r="E42" s="23">
        <v>5.0</v>
      </c>
      <c r="F42" s="23"/>
      <c r="G42" s="19" t="s">
        <v>29</v>
      </c>
      <c r="H42" s="24" t="str">
        <f t="shared" ref="H42:H45" si="15">B42/$B$46</f>
        <v>0.578</v>
      </c>
      <c r="I42" s="24" t="str">
        <f t="shared" ref="I42:I45" si="16">C42/$C$46</f>
        <v>0.644</v>
      </c>
      <c r="J42" s="24" t="str">
        <f t="shared" ref="J42:J45" si="17">D42/$D$46</f>
        <v>0.500</v>
      </c>
      <c r="K42" s="24" t="str">
        <f t="shared" ref="K42:K45" si="18">E42/$E$46</f>
        <v>0.500</v>
      </c>
      <c r="L42" s="25" t="str">
        <f t="shared" ref="L42:L45" si="19">AVERAGE(H42:K42)</f>
        <v>0.555</v>
      </c>
    </row>
    <row r="43" ht="15.75" customHeight="1">
      <c r="A43" s="19" t="s">
        <v>30</v>
      </c>
      <c r="B43" s="23">
        <v>0.33</v>
      </c>
      <c r="C43" s="23">
        <v>1.0</v>
      </c>
      <c r="D43" s="23">
        <v>3.0</v>
      </c>
      <c r="E43" s="23">
        <v>3.0</v>
      </c>
      <c r="F43" s="23"/>
      <c r="G43" s="19" t="s">
        <v>30</v>
      </c>
      <c r="H43" s="24" t="str">
        <f t="shared" si="15"/>
        <v>0.191</v>
      </c>
      <c r="I43" s="24" t="str">
        <f t="shared" si="16"/>
        <v>0.215</v>
      </c>
      <c r="J43" s="24" t="str">
        <f t="shared" si="17"/>
        <v>0.300</v>
      </c>
      <c r="K43" s="24" t="str">
        <f t="shared" si="18"/>
        <v>0.300</v>
      </c>
      <c r="L43" s="25" t="str">
        <f t="shared" si="19"/>
        <v>0.251</v>
      </c>
    </row>
    <row r="44" ht="15.75" customHeight="1">
      <c r="A44" s="19" t="s">
        <v>31</v>
      </c>
      <c r="B44" s="23">
        <v>0.2</v>
      </c>
      <c r="C44" s="23">
        <v>0.33</v>
      </c>
      <c r="D44" s="23">
        <v>1.0</v>
      </c>
      <c r="E44" s="23">
        <v>1.0</v>
      </c>
      <c r="F44" s="23"/>
      <c r="G44" s="19" t="s">
        <v>31</v>
      </c>
      <c r="H44" s="24" t="str">
        <f t="shared" si="15"/>
        <v>0.116</v>
      </c>
      <c r="I44" s="24" t="str">
        <f t="shared" si="16"/>
        <v>0.071</v>
      </c>
      <c r="J44" s="24" t="str">
        <f t="shared" si="17"/>
        <v>0.100</v>
      </c>
      <c r="K44" s="24" t="str">
        <f t="shared" si="18"/>
        <v>0.100</v>
      </c>
      <c r="L44" s="25" t="str">
        <f t="shared" si="19"/>
        <v>0.097</v>
      </c>
    </row>
    <row r="45" ht="15.75" customHeight="1">
      <c r="A45" s="19" t="s">
        <v>32</v>
      </c>
      <c r="B45" s="23">
        <v>0.2</v>
      </c>
      <c r="C45" s="23">
        <v>0.33</v>
      </c>
      <c r="D45" s="23">
        <v>1.0</v>
      </c>
      <c r="E45" s="23">
        <v>1.0</v>
      </c>
      <c r="F45" s="23"/>
      <c r="G45" s="19" t="s">
        <v>32</v>
      </c>
      <c r="H45" s="24" t="str">
        <f t="shared" si="15"/>
        <v>0.116</v>
      </c>
      <c r="I45" s="24" t="str">
        <f t="shared" si="16"/>
        <v>0.071</v>
      </c>
      <c r="J45" s="24" t="str">
        <f t="shared" si="17"/>
        <v>0.100</v>
      </c>
      <c r="K45" s="24" t="str">
        <f t="shared" si="18"/>
        <v>0.100</v>
      </c>
      <c r="L45" s="25" t="str">
        <f t="shared" si="19"/>
        <v>0.097</v>
      </c>
    </row>
    <row r="46" ht="15.75" customHeight="1">
      <c r="A46" s="19" t="s">
        <v>7</v>
      </c>
      <c r="B46" s="23">
        <v>1.73</v>
      </c>
      <c r="C46" s="23">
        <v>4.66</v>
      </c>
      <c r="D46" s="23">
        <v>10.0</v>
      </c>
      <c r="E46" s="23">
        <v>10.0</v>
      </c>
      <c r="F46" s="23"/>
      <c r="G46" s="15"/>
    </row>
    <row r="47" ht="15.75" customHeight="1"/>
    <row r="48" ht="15.75" customHeight="1">
      <c r="A48" s="11" t="s">
        <v>4</v>
      </c>
    </row>
    <row r="49" ht="15.75" customHeight="1">
      <c r="G49" s="16" t="s">
        <v>8</v>
      </c>
    </row>
    <row r="50" ht="15.75" customHeight="1">
      <c r="A50" s="18" t="s">
        <v>4</v>
      </c>
      <c r="B50" s="19" t="s">
        <v>29</v>
      </c>
      <c r="C50" s="19" t="s">
        <v>30</v>
      </c>
      <c r="D50" s="19" t="s">
        <v>31</v>
      </c>
      <c r="E50" s="19" t="s">
        <v>32</v>
      </c>
      <c r="F50" s="20"/>
      <c r="G50" s="18" t="s">
        <v>4</v>
      </c>
      <c r="H50" s="19" t="s">
        <v>29</v>
      </c>
      <c r="I50" s="19" t="s">
        <v>30</v>
      </c>
      <c r="J50" s="19" t="s">
        <v>31</v>
      </c>
      <c r="K50" s="19" t="s">
        <v>32</v>
      </c>
      <c r="L50" s="21" t="s">
        <v>33</v>
      </c>
    </row>
    <row r="51" ht="15.75" customHeight="1">
      <c r="A51" s="19" t="s">
        <v>29</v>
      </c>
      <c r="B51" s="23">
        <v>1.0</v>
      </c>
      <c r="C51" s="23">
        <v>0.8</v>
      </c>
      <c r="D51" s="23">
        <v>0.8</v>
      </c>
      <c r="E51" s="23">
        <v>0.8</v>
      </c>
      <c r="F51" s="23"/>
      <c r="G51" s="19" t="s">
        <v>29</v>
      </c>
      <c r="H51" s="24" t="str">
        <f t="shared" ref="H51:H54" si="20">B51/$B$55</f>
        <v>0.211</v>
      </c>
      <c r="I51" s="24" t="str">
        <f t="shared" ref="I51:I54" si="21">C51/$C$55</f>
        <v>0.211</v>
      </c>
      <c r="J51" s="24" t="str">
        <f t="shared" ref="J51:J54" si="22">D51/$D$55</f>
        <v>0.211</v>
      </c>
      <c r="K51" s="24" t="str">
        <f t="shared" ref="K51:K54" si="23">E51/$E$55</f>
        <v>0.211</v>
      </c>
      <c r="L51" s="25" t="str">
        <f t="shared" ref="L51:L54" si="24">AVERAGE(H51:K51)</f>
        <v>0.211</v>
      </c>
    </row>
    <row r="52" ht="15.75" customHeight="1">
      <c r="A52" s="19" t="s">
        <v>30</v>
      </c>
      <c r="B52" s="23">
        <v>1.25</v>
      </c>
      <c r="C52" s="23">
        <v>1.0</v>
      </c>
      <c r="D52" s="23">
        <v>1.0</v>
      </c>
      <c r="E52" s="23">
        <v>1.0</v>
      </c>
      <c r="F52" s="23"/>
      <c r="G52" s="19" t="s">
        <v>30</v>
      </c>
      <c r="H52" s="24" t="str">
        <f t="shared" si="20"/>
        <v>0.263</v>
      </c>
      <c r="I52" s="24" t="str">
        <f t="shared" si="21"/>
        <v>0.263</v>
      </c>
      <c r="J52" s="24" t="str">
        <f t="shared" si="22"/>
        <v>0.263</v>
      </c>
      <c r="K52" s="24" t="str">
        <f t="shared" si="23"/>
        <v>0.263</v>
      </c>
      <c r="L52" s="25" t="str">
        <f t="shared" si="24"/>
        <v>0.263</v>
      </c>
    </row>
    <row r="53" ht="15.75" customHeight="1">
      <c r="A53" s="19" t="s">
        <v>31</v>
      </c>
      <c r="B53" s="23">
        <v>1.25</v>
      </c>
      <c r="C53" s="23">
        <v>1.0</v>
      </c>
      <c r="D53" s="23">
        <v>1.0</v>
      </c>
      <c r="E53" s="23">
        <v>1.0</v>
      </c>
      <c r="F53" s="23"/>
      <c r="G53" s="19" t="s">
        <v>31</v>
      </c>
      <c r="H53" s="24" t="str">
        <f t="shared" si="20"/>
        <v>0.263</v>
      </c>
      <c r="I53" s="24" t="str">
        <f t="shared" si="21"/>
        <v>0.263</v>
      </c>
      <c r="J53" s="24" t="str">
        <f t="shared" si="22"/>
        <v>0.263</v>
      </c>
      <c r="K53" s="24" t="str">
        <f t="shared" si="23"/>
        <v>0.263</v>
      </c>
      <c r="L53" s="25" t="str">
        <f t="shared" si="24"/>
        <v>0.263</v>
      </c>
    </row>
    <row r="54" ht="15.75" customHeight="1">
      <c r="A54" s="19" t="s">
        <v>32</v>
      </c>
      <c r="B54" s="23">
        <v>1.25</v>
      </c>
      <c r="C54" s="23">
        <v>1.0</v>
      </c>
      <c r="D54" s="23">
        <v>1.0</v>
      </c>
      <c r="E54" s="23">
        <v>1.0</v>
      </c>
      <c r="F54" s="23"/>
      <c r="G54" s="19" t="s">
        <v>32</v>
      </c>
      <c r="H54" s="24" t="str">
        <f t="shared" si="20"/>
        <v>0.263</v>
      </c>
      <c r="I54" s="24" t="str">
        <f t="shared" si="21"/>
        <v>0.263</v>
      </c>
      <c r="J54" s="24" t="str">
        <f t="shared" si="22"/>
        <v>0.263</v>
      </c>
      <c r="K54" s="24" t="str">
        <f t="shared" si="23"/>
        <v>0.263</v>
      </c>
      <c r="L54" s="25" t="str">
        <f t="shared" si="24"/>
        <v>0.263</v>
      </c>
    </row>
    <row r="55" ht="15.75" customHeight="1">
      <c r="A55" s="19" t="s">
        <v>7</v>
      </c>
      <c r="B55" s="23">
        <v>4.75</v>
      </c>
      <c r="C55" s="23">
        <v>3.8</v>
      </c>
      <c r="D55" s="23">
        <v>3.8</v>
      </c>
      <c r="E55" s="23">
        <v>3.8</v>
      </c>
      <c r="F55" s="23"/>
      <c r="G55" s="15"/>
    </row>
    <row r="56" ht="15.75" customHeight="1"/>
    <row r="57" ht="15.75" customHeight="1">
      <c r="A57" s="11" t="s">
        <v>5</v>
      </c>
    </row>
    <row r="58" ht="15.75" customHeight="1">
      <c r="G58" s="16" t="s">
        <v>8</v>
      </c>
    </row>
    <row r="59" ht="15.75" customHeight="1">
      <c r="A59" s="18" t="s">
        <v>5</v>
      </c>
      <c r="B59" s="19" t="s">
        <v>29</v>
      </c>
      <c r="C59" s="19" t="s">
        <v>30</v>
      </c>
      <c r="D59" s="19" t="s">
        <v>31</v>
      </c>
      <c r="E59" s="19" t="s">
        <v>32</v>
      </c>
      <c r="F59" s="20"/>
      <c r="G59" s="18" t="s">
        <v>5</v>
      </c>
      <c r="H59" s="19" t="s">
        <v>29</v>
      </c>
      <c r="I59" s="19" t="s">
        <v>30</v>
      </c>
      <c r="J59" s="19" t="s">
        <v>31</v>
      </c>
      <c r="K59" s="19" t="s">
        <v>32</v>
      </c>
      <c r="L59" s="21" t="s">
        <v>33</v>
      </c>
    </row>
    <row r="60" ht="15.75" customHeight="1">
      <c r="A60" s="19" t="s">
        <v>29</v>
      </c>
      <c r="B60" s="23">
        <v>1.0</v>
      </c>
      <c r="C60" s="23">
        <v>3.0</v>
      </c>
      <c r="D60" s="23">
        <v>4.0</v>
      </c>
      <c r="E60" s="23">
        <v>4.0</v>
      </c>
      <c r="F60" s="23"/>
      <c r="G60" s="19" t="s">
        <v>29</v>
      </c>
      <c r="H60" s="24" t="str">
        <f t="shared" ref="H60:H63" si="25">B60/$B$64</f>
        <v>0.546</v>
      </c>
      <c r="I60" s="24" t="str">
        <f t="shared" ref="I60:I63" si="26">C60/$C$64</f>
        <v>0.600</v>
      </c>
      <c r="J60" s="24" t="str">
        <f t="shared" ref="J60:J63" si="27">D60/$D$64</f>
        <v>0.500</v>
      </c>
      <c r="K60" s="24" t="str">
        <f t="shared" ref="K60:K63" si="28">E60/$E$64</f>
        <v>0.500</v>
      </c>
      <c r="L60" s="25" t="str">
        <f t="shared" ref="L60:L63" si="29">AVERAGE(H60:K60)</f>
        <v>0.537</v>
      </c>
    </row>
    <row r="61" ht="15.75" customHeight="1">
      <c r="A61" s="19" t="s">
        <v>30</v>
      </c>
      <c r="B61" s="23">
        <v>0.33</v>
      </c>
      <c r="C61" s="23">
        <v>1.0</v>
      </c>
      <c r="D61" s="23">
        <v>2.0</v>
      </c>
      <c r="E61" s="23">
        <v>2.0</v>
      </c>
      <c r="F61" s="23"/>
      <c r="G61" s="19" t="s">
        <v>30</v>
      </c>
      <c r="H61" s="24" t="str">
        <f t="shared" si="25"/>
        <v>0.180</v>
      </c>
      <c r="I61" s="24" t="str">
        <f t="shared" si="26"/>
        <v>0.200</v>
      </c>
      <c r="J61" s="24" t="str">
        <f t="shared" si="27"/>
        <v>0.250</v>
      </c>
      <c r="K61" s="24" t="str">
        <f t="shared" si="28"/>
        <v>0.250</v>
      </c>
      <c r="L61" s="25" t="str">
        <f t="shared" si="29"/>
        <v>0.220</v>
      </c>
    </row>
    <row r="62" ht="15.75" customHeight="1">
      <c r="A62" s="19" t="s">
        <v>31</v>
      </c>
      <c r="B62" s="23">
        <v>0.25</v>
      </c>
      <c r="C62" s="23">
        <v>0.5</v>
      </c>
      <c r="D62" s="23">
        <v>1.0</v>
      </c>
      <c r="E62" s="23">
        <v>1.0</v>
      </c>
      <c r="F62" s="23"/>
      <c r="G62" s="19" t="s">
        <v>31</v>
      </c>
      <c r="H62" s="24" t="str">
        <f t="shared" si="25"/>
        <v>0.137</v>
      </c>
      <c r="I62" s="24" t="str">
        <f t="shared" si="26"/>
        <v>0.100</v>
      </c>
      <c r="J62" s="24" t="str">
        <f t="shared" si="27"/>
        <v>0.125</v>
      </c>
      <c r="K62" s="24" t="str">
        <f t="shared" si="28"/>
        <v>0.125</v>
      </c>
      <c r="L62" s="25" t="str">
        <f t="shared" si="29"/>
        <v>0.122</v>
      </c>
    </row>
    <row r="63" ht="15.75" customHeight="1">
      <c r="A63" s="19" t="s">
        <v>32</v>
      </c>
      <c r="B63" s="23">
        <v>0.25</v>
      </c>
      <c r="C63" s="23">
        <v>0.5</v>
      </c>
      <c r="D63" s="23">
        <v>1.0</v>
      </c>
      <c r="E63" s="23">
        <v>1.0</v>
      </c>
      <c r="F63" s="23"/>
      <c r="G63" s="19" t="s">
        <v>32</v>
      </c>
      <c r="H63" s="24" t="str">
        <f t="shared" si="25"/>
        <v>0.137</v>
      </c>
      <c r="I63" s="24" t="str">
        <f t="shared" si="26"/>
        <v>0.100</v>
      </c>
      <c r="J63" s="24" t="str">
        <f t="shared" si="27"/>
        <v>0.125</v>
      </c>
      <c r="K63" s="24" t="str">
        <f t="shared" si="28"/>
        <v>0.125</v>
      </c>
      <c r="L63" s="25" t="str">
        <f t="shared" si="29"/>
        <v>0.122</v>
      </c>
    </row>
    <row r="64" ht="15.75" customHeight="1">
      <c r="A64" s="19" t="s">
        <v>7</v>
      </c>
      <c r="B64" s="23">
        <v>1.83</v>
      </c>
      <c r="C64" s="23">
        <v>5.0</v>
      </c>
      <c r="D64" s="23">
        <v>8.0</v>
      </c>
      <c r="E64" s="23">
        <v>8.0</v>
      </c>
      <c r="F64" s="23"/>
      <c r="G64" s="15"/>
    </row>
    <row r="65" ht="15.75" customHeight="1"/>
    <row r="66" ht="15.75" customHeight="1">
      <c r="A66" s="11" t="s">
        <v>6</v>
      </c>
    </row>
    <row r="67" ht="15.75" customHeight="1"/>
    <row r="68" ht="15.75" customHeight="1">
      <c r="A68" s="20" t="s">
        <v>14</v>
      </c>
      <c r="B68" s="26" t="s">
        <v>35</v>
      </c>
    </row>
    <row r="69" ht="15.75" customHeight="1">
      <c r="A69" s="20" t="s">
        <v>18</v>
      </c>
      <c r="B69" s="23">
        <v>180.0</v>
      </c>
    </row>
    <row r="70" ht="15.75" customHeight="1">
      <c r="A70" s="20" t="s">
        <v>21</v>
      </c>
      <c r="B70" s="23">
        <v>200.0</v>
      </c>
    </row>
    <row r="71" ht="15.75" customHeight="1">
      <c r="A71" s="20" t="s">
        <v>23</v>
      </c>
      <c r="B71" s="23">
        <v>241.0</v>
      </c>
    </row>
    <row r="72" ht="15.75" customHeight="1">
      <c r="A72" s="20" t="s">
        <v>26</v>
      </c>
      <c r="B72" s="23">
        <v>350.0</v>
      </c>
    </row>
    <row r="73" ht="15.75" customHeight="1">
      <c r="G73" s="16" t="s">
        <v>8</v>
      </c>
    </row>
    <row r="74" ht="15.75" customHeight="1">
      <c r="A74" s="18" t="s">
        <v>6</v>
      </c>
      <c r="B74" s="19" t="s">
        <v>29</v>
      </c>
      <c r="C74" s="19" t="s">
        <v>30</v>
      </c>
      <c r="D74" s="19" t="s">
        <v>31</v>
      </c>
      <c r="E74" s="19" t="s">
        <v>32</v>
      </c>
      <c r="F74" s="20"/>
      <c r="G74" s="18" t="s">
        <v>6</v>
      </c>
      <c r="H74" s="19" t="s">
        <v>29</v>
      </c>
      <c r="I74" s="19" t="s">
        <v>30</v>
      </c>
      <c r="J74" s="19" t="s">
        <v>31</v>
      </c>
      <c r="K74" s="19" t="s">
        <v>32</v>
      </c>
      <c r="L74" s="21" t="s">
        <v>33</v>
      </c>
    </row>
    <row r="75" ht="15.75" customHeight="1">
      <c r="A75" s="19" t="s">
        <v>29</v>
      </c>
      <c r="B75" s="24">
        <v>1.0</v>
      </c>
      <c r="C75" s="24" t="str">
        <f>B69/B70</f>
        <v>0.900</v>
      </c>
      <c r="D75" s="24" t="str">
        <f>B69/B71</f>
        <v>0.747</v>
      </c>
      <c r="E75" s="24" t="str">
        <f>B69/B72</f>
        <v>0.514</v>
      </c>
      <c r="F75" s="23"/>
      <c r="G75" s="19" t="s">
        <v>29</v>
      </c>
      <c r="H75" s="24" t="str">
        <f t="shared" ref="H75:H78" si="30">B75/$B$79</f>
        <v>0.185</v>
      </c>
      <c r="I75" s="24" t="str">
        <f t="shared" ref="I75:I78" si="31">C75/$C$79</f>
        <v>0.185</v>
      </c>
      <c r="J75" s="24" t="str">
        <f t="shared" ref="J75:J78" si="32">D75/$D$79</f>
        <v>0.185</v>
      </c>
      <c r="K75" s="24" t="str">
        <f t="shared" ref="K75:K78" si="33">E75/$E$79</f>
        <v>0.185</v>
      </c>
      <c r="L75" s="25" t="str">
        <f t="shared" ref="L75:L78" si="34">AVERAGE(H75:K75)</f>
        <v>0.185</v>
      </c>
    </row>
    <row r="76" ht="15.75" customHeight="1">
      <c r="A76" s="19" t="s">
        <v>30</v>
      </c>
      <c r="B76" s="24" t="str">
        <f>B70/B69</f>
        <v>1.111</v>
      </c>
      <c r="C76" s="24">
        <v>1.0</v>
      </c>
      <c r="D76" s="24" t="str">
        <f>B70/B71</f>
        <v>0.830</v>
      </c>
      <c r="E76" s="24" t="str">
        <f>B70/B72</f>
        <v>0.571</v>
      </c>
      <c r="F76" s="23"/>
      <c r="G76" s="19" t="s">
        <v>30</v>
      </c>
      <c r="H76" s="24" t="str">
        <f t="shared" si="30"/>
        <v>0.206</v>
      </c>
      <c r="I76" s="24" t="str">
        <f t="shared" si="31"/>
        <v>0.206</v>
      </c>
      <c r="J76" s="24" t="str">
        <f t="shared" si="32"/>
        <v>0.206</v>
      </c>
      <c r="K76" s="24" t="str">
        <f t="shared" si="33"/>
        <v>0.206</v>
      </c>
      <c r="L76" s="25" t="str">
        <f t="shared" si="34"/>
        <v>0.206</v>
      </c>
    </row>
    <row r="77" ht="15.75" customHeight="1">
      <c r="A77" s="19" t="s">
        <v>31</v>
      </c>
      <c r="B77" s="24" t="str">
        <f>B71/B69</f>
        <v>1.339</v>
      </c>
      <c r="C77" s="24" t="str">
        <f>B71/B70</f>
        <v>1.205</v>
      </c>
      <c r="D77" s="24">
        <v>1.0</v>
      </c>
      <c r="E77" s="24" t="str">
        <f>B71/B72</f>
        <v>0.689</v>
      </c>
      <c r="F77" s="23"/>
      <c r="G77" s="19" t="s">
        <v>31</v>
      </c>
      <c r="H77" s="24" t="str">
        <f t="shared" si="30"/>
        <v>0.248</v>
      </c>
      <c r="I77" s="24" t="str">
        <f t="shared" si="31"/>
        <v>0.248</v>
      </c>
      <c r="J77" s="24" t="str">
        <f t="shared" si="32"/>
        <v>0.248</v>
      </c>
      <c r="K77" s="24" t="str">
        <f t="shared" si="33"/>
        <v>0.248</v>
      </c>
      <c r="L77" s="25" t="str">
        <f t="shared" si="34"/>
        <v>0.248</v>
      </c>
    </row>
    <row r="78" ht="15.75" customHeight="1">
      <c r="A78" s="19" t="s">
        <v>32</v>
      </c>
      <c r="B78" s="24" t="str">
        <f>B72/B69</f>
        <v>1.944</v>
      </c>
      <c r="C78" s="24" t="str">
        <f>B72/B70</f>
        <v>1.750</v>
      </c>
      <c r="D78" s="24" t="str">
        <f>B72/B71</f>
        <v>1.452</v>
      </c>
      <c r="E78" s="24">
        <v>1.0</v>
      </c>
      <c r="F78" s="23"/>
      <c r="G78" s="19" t="s">
        <v>32</v>
      </c>
      <c r="H78" s="24" t="str">
        <f t="shared" si="30"/>
        <v>0.360</v>
      </c>
      <c r="I78" s="24" t="str">
        <f t="shared" si="31"/>
        <v>0.360</v>
      </c>
      <c r="J78" s="24" t="str">
        <f t="shared" si="32"/>
        <v>0.360</v>
      </c>
      <c r="K78" s="24" t="str">
        <f t="shared" si="33"/>
        <v>0.360</v>
      </c>
      <c r="L78" s="25" t="str">
        <f t="shared" si="34"/>
        <v>0.360</v>
      </c>
    </row>
    <row r="79" ht="15.75" customHeight="1">
      <c r="A79" s="19" t="s">
        <v>7</v>
      </c>
      <c r="B79" s="24" t="str">
        <f t="shared" ref="B79:E79" si="35">SUM(B75:B78)</f>
        <v>5.394</v>
      </c>
      <c r="C79" s="24" t="str">
        <f t="shared" si="35"/>
        <v>4.855</v>
      </c>
      <c r="D79" s="24" t="str">
        <f t="shared" si="35"/>
        <v>4.029</v>
      </c>
      <c r="E79" s="24" t="str">
        <f t="shared" si="35"/>
        <v>2.774</v>
      </c>
      <c r="F79" s="23"/>
      <c r="G79" s="15"/>
    </row>
    <row r="80" ht="15.75" customHeight="1"/>
    <row r="81" ht="15.75" customHeight="1"/>
    <row r="82" ht="15.75" customHeight="1">
      <c r="A82" s="10" t="s">
        <v>36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ht="15.75" customHeight="1"/>
    <row r="84" ht="15.75" customHeight="1">
      <c r="A84" s="27" t="s">
        <v>1</v>
      </c>
      <c r="B84" s="27" t="s">
        <v>37</v>
      </c>
      <c r="C84" s="27" t="s">
        <v>38</v>
      </c>
      <c r="D84" s="27" t="s">
        <v>30</v>
      </c>
      <c r="E84" s="27" t="s">
        <v>31</v>
      </c>
      <c r="F84" s="27" t="s">
        <v>32</v>
      </c>
    </row>
    <row r="85" ht="15.75" customHeight="1">
      <c r="A85" s="19" t="s">
        <v>2</v>
      </c>
      <c r="B85" s="28">
        <v>0.4583978103125158</v>
      </c>
      <c r="C85" s="28">
        <v>0.46436077803476017</v>
      </c>
      <c r="D85" s="28">
        <v>0.21027499787468315</v>
      </c>
      <c r="E85" s="9">
        <v>0.160949403159589</v>
      </c>
      <c r="F85" s="9">
        <v>0.1644148209309677</v>
      </c>
    </row>
    <row r="86" ht="15.75" customHeight="1">
      <c r="A86" s="20" t="s">
        <v>39</v>
      </c>
      <c r="B86" s="20"/>
      <c r="C86" s="23" t="str">
        <f t="shared" ref="C86:F86" si="36">C85*$B$85</f>
        <v>0.2128619638</v>
      </c>
      <c r="D86" s="23" t="str">
        <f t="shared" si="36"/>
        <v>0.09638959859</v>
      </c>
      <c r="E86" s="23" t="str">
        <f t="shared" si="36"/>
        <v>0.07377885398</v>
      </c>
      <c r="F86" s="23" t="str">
        <f t="shared" si="36"/>
        <v>0.0753673939</v>
      </c>
    </row>
    <row r="87" ht="15.75" customHeight="1">
      <c r="A87" s="19" t="s">
        <v>3</v>
      </c>
      <c r="B87" s="28">
        <v>0.12342371774385755</v>
      </c>
      <c r="C87" s="28">
        <v>0.5554528765288149</v>
      </c>
      <c r="D87" s="28">
        <v>0.2513359299412042</v>
      </c>
      <c r="E87" s="28">
        <v>0.09660559676499045</v>
      </c>
      <c r="F87" s="28">
        <v>0.09660559676499045</v>
      </c>
    </row>
    <row r="88" ht="15.75" customHeight="1">
      <c r="A88" s="20" t="s">
        <v>39</v>
      </c>
      <c r="B88" s="20"/>
      <c r="C88" s="23" t="str">
        <f t="shared" ref="C88:F88" si="37">C87*$B87</f>
        <v>0.06855605905</v>
      </c>
      <c r="D88" s="23" t="str">
        <f t="shared" si="37"/>
        <v>0.03102081488</v>
      </c>
      <c r="E88" s="23" t="str">
        <f t="shared" si="37"/>
        <v>0.01192342191</v>
      </c>
      <c r="F88" s="23" t="str">
        <f t="shared" si="37"/>
        <v>0.01192342191</v>
      </c>
    </row>
    <row r="89" ht="15.75" customHeight="1">
      <c r="A89" s="19" t="s">
        <v>4</v>
      </c>
      <c r="B89" s="28">
        <v>0.07182273978387314</v>
      </c>
      <c r="C89" s="28">
        <v>0.21052631578947367</v>
      </c>
      <c r="D89" s="28">
        <v>0.2631578947368421</v>
      </c>
      <c r="E89" s="28">
        <v>0.263</v>
      </c>
      <c r="F89" s="28">
        <v>0.263</v>
      </c>
    </row>
    <row r="90" ht="15.75" customHeight="1">
      <c r="A90" s="20" t="s">
        <v>39</v>
      </c>
      <c r="B90" s="20"/>
      <c r="C90" s="23" t="str">
        <f t="shared" ref="C90:F90" si="38">C89*$B$89</f>
        <v>0.0151205768</v>
      </c>
      <c r="D90" s="23" t="str">
        <f t="shared" si="38"/>
        <v>0.018900721</v>
      </c>
      <c r="E90" s="23" t="str">
        <f t="shared" si="38"/>
        <v>0.01888938056</v>
      </c>
      <c r="F90" s="23" t="str">
        <f t="shared" si="38"/>
        <v>0.01888938056</v>
      </c>
    </row>
    <row r="91" ht="15.75" customHeight="1">
      <c r="A91" s="19" t="s">
        <v>5</v>
      </c>
      <c r="B91" s="28">
        <v>0.21534907602727033</v>
      </c>
      <c r="C91" s="28">
        <v>0.5366120218579234</v>
      </c>
      <c r="D91" s="28">
        <v>0.22008196721311477</v>
      </c>
      <c r="E91" s="28">
        <v>0.12165300546448088</v>
      </c>
      <c r="F91" s="28">
        <v>0.12165300546448088</v>
      </c>
    </row>
    <row r="92" ht="15.75" customHeight="1">
      <c r="A92" s="20" t="s">
        <v>39</v>
      </c>
      <c r="B92" s="20"/>
      <c r="C92" s="23" t="str">
        <f t="shared" ref="C92:F92" si="39">C91*$B$91</f>
        <v>0.1155589031</v>
      </c>
      <c r="D92" s="23" t="str">
        <f t="shared" si="39"/>
        <v>0.04739444829</v>
      </c>
      <c r="E92" s="23" t="str">
        <f t="shared" si="39"/>
        <v>0.02619786232</v>
      </c>
      <c r="F92" s="23" t="str">
        <f t="shared" si="39"/>
        <v>0.02619786232</v>
      </c>
    </row>
    <row r="93" ht="15.75" customHeight="1">
      <c r="A93" s="19" t="s">
        <v>6</v>
      </c>
      <c r="B93" s="7">
        <v>0.13100665613248313</v>
      </c>
      <c r="C93" s="28">
        <v>0.1853759011328527</v>
      </c>
      <c r="D93" s="28">
        <v>0.2059732234809475</v>
      </c>
      <c r="E93" s="28">
        <v>0.2481977342945417</v>
      </c>
      <c r="F93" s="28">
        <v>0.36045314109165805</v>
      </c>
    </row>
    <row r="94" ht="15.75" customHeight="1">
      <c r="A94" s="20" t="s">
        <v>39</v>
      </c>
      <c r="B94" s="20"/>
      <c r="C94" s="23" t="str">
        <f t="shared" ref="C94:F94" si="40">C93*$B$93</f>
        <v>0.02428547693</v>
      </c>
      <c r="D94" s="23" t="str">
        <f t="shared" si="40"/>
        <v>0.02698386326</v>
      </c>
      <c r="E94" s="23" t="str">
        <f t="shared" si="40"/>
        <v>0.03251555523</v>
      </c>
      <c r="F94" s="23" t="str">
        <f t="shared" si="40"/>
        <v>0.04722176071</v>
      </c>
    </row>
    <row r="95" ht="15.75" customHeight="1">
      <c r="A95" s="18" t="s">
        <v>40</v>
      </c>
      <c r="B95" s="29">
        <v>1.0</v>
      </c>
      <c r="C95" s="29" t="str">
        <f t="shared" ref="C95:F95" si="41">C86+C88+C90+C92+C94</f>
        <v>0.4363829797</v>
      </c>
      <c r="D95" s="29" t="str">
        <f t="shared" si="41"/>
        <v>0.220689446</v>
      </c>
      <c r="E95" s="29" t="str">
        <f t="shared" si="41"/>
        <v>0.163305074</v>
      </c>
      <c r="F95" s="29" t="str">
        <f t="shared" si="41"/>
        <v>0.1795998194</v>
      </c>
    </row>
    <row r="96" ht="15.75" customHeight="1">
      <c r="A96" s="18" t="s">
        <v>41</v>
      </c>
      <c r="B96" s="18"/>
      <c r="C96" s="29">
        <v>1.0</v>
      </c>
      <c r="D96" s="29">
        <v>2.0</v>
      </c>
      <c r="E96" s="29">
        <v>4.0</v>
      </c>
      <c r="F96" s="29">
        <v>3.0</v>
      </c>
    </row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Start research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Yushen Gurusinghe</cp:lastModifiedBy>
  <dcterms:modified xsi:type="dcterms:W3CDTF">2025-10-06T08:54:46Z</dcterms:modified>
</cp:coreProperties>
</file>
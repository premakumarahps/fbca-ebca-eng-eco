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ema\Desktop\Our group project\"/>
    </mc:Choice>
  </mc:AlternateContent>
  <xr:revisionPtr revIDLastSave="0" documentId="13_ncr:1_{29F51834-4597-4D4F-9023-22D5CDC8EC2B}" xr6:coauthVersionLast="47" xr6:coauthVersionMax="47" xr10:uidLastSave="{00000000-0000-0000-0000-000000000000}"/>
  <bookViews>
    <workbookView xWindow="-110" yWindow="-110" windowWidth="19420" windowHeight="11020" firstSheet="1" activeTab="1" xr2:uid="{00000000-000D-0000-FFFF-FFFF00000000}"/>
  </bookViews>
  <sheets>
    <sheet name="EBCA" sheetId="1" r:id="rId1"/>
    <sheet name="Sensitivity_Analysis" sheetId="2" r:id="rId2"/>
  </sheets>
  <externalReferences>
    <externalReference r:id="rId3"/>
  </externalReferences>
  <definedNames>
    <definedName name="AvoidFuelCost">EBCA!$B$12</definedName>
    <definedName name="CapitalCost">EBCA!$B$24</definedName>
    <definedName name="CO2Avoided">EBCA!$B$9</definedName>
    <definedName name="DiscountedEPBP">EBCA!$C$85</definedName>
    <definedName name="DiscountedPBP">[1]FBCA!$C$57</definedName>
    <definedName name="DiscountRate">EBCA!$B$5</definedName>
    <definedName name="EBCR">EBCA!$C$83</definedName>
    <definedName name="EfficiencyDerate">EBCA!$B$14</definedName>
    <definedName name="EIRR">EBCA!$C$84</definedName>
    <definedName name="EmpIncomePerJob">EBCA!$B$19</definedName>
    <definedName name="EmpJobsAfteryr0">EBCA!$B$17</definedName>
    <definedName name="EmpJobsForyr0">EBCA!$B$18</definedName>
    <definedName name="ENPV">EBCA!$C$82</definedName>
    <definedName name="EnvBenifit">EBCA!$B$11</definedName>
    <definedName name="EnvImpactCostyr0">EBCA!$B$21</definedName>
    <definedName name="FBCR">[1]FBCA!$C$55</definedName>
    <definedName name="FIRR">[1]FBCA!$C$56</definedName>
    <definedName name="FNPV">[1]FBCA!$C$54</definedName>
    <definedName name="Generation">EBCA!$B$13</definedName>
    <definedName name="LossOfRoyaltyRevenue">EBCA!$B$20</definedName>
    <definedName name="ModuleDegradation">EBCA!$B$16</definedName>
    <definedName name="OandMescalation">EBCA!$B$22</definedName>
    <definedName name="OandMyr1">EBCA!$B$23</definedName>
    <definedName name="ShadowExchRateFact">EBCA!$B$8</definedName>
    <definedName name="ShadWageRateFac">EBCA!$B$7</definedName>
    <definedName name="SimpleEPBP">EBCA!$C$86</definedName>
    <definedName name="SocialCostOfCarbon">EBCA!$B$10</definedName>
    <definedName name="StandConvFact">EBCA!$B$6</definedName>
    <definedName name="Tariff">EBCA!$B$15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3" i="2" l="1"/>
  <c r="H165" i="2"/>
  <c r="H166" i="2"/>
  <c r="H167" i="2"/>
  <c r="H169" i="2"/>
  <c r="B18" i="1" l="1"/>
  <c r="B24" i="1"/>
  <c r="B23" i="1"/>
  <c r="B22" i="1"/>
  <c r="B21" i="1"/>
  <c r="B20" i="1"/>
  <c r="B19" i="1"/>
  <c r="B17" i="1"/>
  <c r="B13" i="1"/>
  <c r="B12" i="1"/>
  <c r="B10" i="1"/>
  <c r="B6" i="1"/>
  <c r="B7" i="1"/>
  <c r="B8" i="1"/>
  <c r="B5" i="1"/>
  <c r="D54" i="1" l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C54" i="1"/>
  <c r="C48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D45" i="1"/>
  <c r="B54" i="1" l="1"/>
  <c r="B45" i="1"/>
  <c r="B36" i="1"/>
  <c r="B37" i="1"/>
  <c r="B35" i="1"/>
  <c r="D37" i="1" l="1"/>
  <c r="D36" i="1"/>
  <c r="D35" i="1"/>
  <c r="D32" i="1"/>
  <c r="D31" i="1"/>
  <c r="D30" i="1"/>
  <c r="C46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C53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C47" i="1"/>
  <c r="D43" i="1"/>
  <c r="E43" i="1" s="1"/>
  <c r="E46" i="1" s="1"/>
  <c r="B30" i="1"/>
  <c r="B31" i="1"/>
  <c r="B32" i="1"/>
  <c r="B11" i="1"/>
  <c r="J47" i="1" s="1"/>
  <c r="B48" i="1" l="1"/>
  <c r="D46" i="1"/>
  <c r="C49" i="1"/>
  <c r="C61" i="1" s="1"/>
  <c r="Q47" i="1"/>
  <c r="P47" i="1"/>
  <c r="O47" i="1"/>
  <c r="R47" i="1"/>
  <c r="I47" i="1"/>
  <c r="H47" i="1"/>
  <c r="W47" i="1"/>
  <c r="G47" i="1"/>
  <c r="F43" i="1"/>
  <c r="F46" i="1" s="1"/>
  <c r="V47" i="1"/>
  <c r="N47" i="1"/>
  <c r="F47" i="1"/>
  <c r="U47" i="1"/>
  <c r="M47" i="1"/>
  <c r="E47" i="1"/>
  <c r="T47" i="1"/>
  <c r="L47" i="1"/>
  <c r="D47" i="1"/>
  <c r="S47" i="1"/>
  <c r="K47" i="1"/>
  <c r="E37" i="1"/>
  <c r="E31" i="1"/>
  <c r="E36" i="1"/>
  <c r="E32" i="1"/>
  <c r="E35" i="1"/>
  <c r="E30" i="1"/>
  <c r="B47" i="1" l="1"/>
  <c r="E49" i="1"/>
  <c r="E61" i="1" s="1"/>
  <c r="D49" i="1"/>
  <c r="D61" i="1" s="1"/>
  <c r="G43" i="1"/>
  <c r="G46" i="1" s="1"/>
  <c r="F49" i="1"/>
  <c r="F61" i="1" s="1"/>
  <c r="E38" i="1"/>
  <c r="D52" i="1" s="1"/>
  <c r="E33" i="1"/>
  <c r="C51" i="1" s="1"/>
  <c r="B53" i="1"/>
  <c r="E52" i="1" l="1"/>
  <c r="D55" i="1"/>
  <c r="D57" i="1" s="1"/>
  <c r="C55" i="1"/>
  <c r="C57" i="1" s="1"/>
  <c r="B51" i="1"/>
  <c r="H43" i="1"/>
  <c r="H46" i="1" s="1"/>
  <c r="G49" i="1"/>
  <c r="G61" i="1" s="1"/>
  <c r="C62" i="1" l="1"/>
  <c r="D62" i="1"/>
  <c r="D63" i="1"/>
  <c r="E55" i="1"/>
  <c r="E57" i="1" s="1"/>
  <c r="F52" i="1"/>
  <c r="I43" i="1"/>
  <c r="I46" i="1" s="1"/>
  <c r="H49" i="1"/>
  <c r="H61" i="1" s="1"/>
  <c r="E62" i="1" l="1"/>
  <c r="C63" i="1"/>
  <c r="C64" i="1" s="1"/>
  <c r="E63" i="1"/>
  <c r="C74" i="1"/>
  <c r="G52" i="1"/>
  <c r="F55" i="1"/>
  <c r="F57" i="1" s="1"/>
  <c r="J43" i="1"/>
  <c r="J46" i="1" s="1"/>
  <c r="I49" i="1"/>
  <c r="I61" i="1" s="1"/>
  <c r="F62" i="1" l="1"/>
  <c r="D64" i="1"/>
  <c r="D68" i="1" s="1"/>
  <c r="C68" i="1"/>
  <c r="H52" i="1"/>
  <c r="G55" i="1"/>
  <c r="G57" i="1" s="1"/>
  <c r="F63" i="1"/>
  <c r="D74" i="1"/>
  <c r="E74" i="1" s="1"/>
  <c r="F74" i="1" s="1"/>
  <c r="K43" i="1"/>
  <c r="K46" i="1" s="1"/>
  <c r="J49" i="1"/>
  <c r="J61" i="1" s="1"/>
  <c r="E64" i="1" l="1"/>
  <c r="E68" i="1" s="1"/>
  <c r="G62" i="1"/>
  <c r="I52" i="1"/>
  <c r="H55" i="1"/>
  <c r="H57" i="1" s="1"/>
  <c r="L43" i="1"/>
  <c r="L46" i="1" s="1"/>
  <c r="K49" i="1"/>
  <c r="K61" i="1" s="1"/>
  <c r="F64" i="1" l="1"/>
  <c r="F68" i="1" s="1"/>
  <c r="H62" i="1"/>
  <c r="G74" i="1"/>
  <c r="G63" i="1"/>
  <c r="H63" i="1"/>
  <c r="J52" i="1"/>
  <c r="I55" i="1"/>
  <c r="I57" i="1" s="1"/>
  <c r="M43" i="1"/>
  <c r="M46" i="1" s="1"/>
  <c r="L49" i="1"/>
  <c r="L61" i="1" s="1"/>
  <c r="G64" i="1" l="1"/>
  <c r="G68" i="1" s="1"/>
  <c r="I62" i="1"/>
  <c r="I63" i="1"/>
  <c r="K52" i="1"/>
  <c r="J55" i="1"/>
  <c r="J57" i="1" s="1"/>
  <c r="H74" i="1"/>
  <c r="N43" i="1"/>
  <c r="N46" i="1" s="1"/>
  <c r="M49" i="1"/>
  <c r="M61" i="1" s="1"/>
  <c r="H64" i="1" l="1"/>
  <c r="H68" i="1" s="1"/>
  <c r="J62" i="1"/>
  <c r="I74" i="1"/>
  <c r="J63" i="1"/>
  <c r="L52" i="1"/>
  <c r="K55" i="1"/>
  <c r="K57" i="1" s="1"/>
  <c r="O43" i="1"/>
  <c r="O46" i="1" s="1"/>
  <c r="N49" i="1"/>
  <c r="N61" i="1" s="1"/>
  <c r="I64" i="1" l="1"/>
  <c r="I68" i="1" s="1"/>
  <c r="K62" i="1"/>
  <c r="J74" i="1"/>
  <c r="K63" i="1"/>
  <c r="M52" i="1"/>
  <c r="L55" i="1"/>
  <c r="L57" i="1" s="1"/>
  <c r="P43" i="1"/>
  <c r="P46" i="1" s="1"/>
  <c r="O49" i="1"/>
  <c r="O61" i="1" s="1"/>
  <c r="J64" i="1" l="1"/>
  <c r="K64" i="1" s="1"/>
  <c r="L62" i="1"/>
  <c r="K74" i="1"/>
  <c r="L63" i="1"/>
  <c r="N52" i="1"/>
  <c r="M55" i="1"/>
  <c r="M57" i="1" s="1"/>
  <c r="Q43" i="1"/>
  <c r="Q46" i="1" s="1"/>
  <c r="P49" i="1"/>
  <c r="P61" i="1" s="1"/>
  <c r="J68" i="1" l="1"/>
  <c r="M62" i="1"/>
  <c r="L74" i="1"/>
  <c r="M63" i="1"/>
  <c r="O52" i="1"/>
  <c r="N55" i="1"/>
  <c r="N57" i="1" s="1"/>
  <c r="R43" i="1"/>
  <c r="R46" i="1" s="1"/>
  <c r="Q49" i="1"/>
  <c r="Q61" i="1" s="1"/>
  <c r="L64" i="1"/>
  <c r="K68" i="1"/>
  <c r="N62" i="1" l="1"/>
  <c r="M74" i="1"/>
  <c r="N63" i="1"/>
  <c r="P52" i="1"/>
  <c r="O55" i="1"/>
  <c r="O57" i="1" s="1"/>
  <c r="S43" i="1"/>
  <c r="S46" i="1" s="1"/>
  <c r="R49" i="1"/>
  <c r="R61" i="1" s="1"/>
  <c r="M64" i="1"/>
  <c r="L68" i="1"/>
  <c r="O62" i="1" l="1"/>
  <c r="O63" i="1"/>
  <c r="N74" i="1"/>
  <c r="Q52" i="1"/>
  <c r="P55" i="1"/>
  <c r="P57" i="1" s="1"/>
  <c r="T43" i="1"/>
  <c r="T46" i="1" s="1"/>
  <c r="S49" i="1"/>
  <c r="S61" i="1" s="1"/>
  <c r="N64" i="1"/>
  <c r="M68" i="1"/>
  <c r="P62" i="1" l="1"/>
  <c r="O74" i="1"/>
  <c r="R52" i="1"/>
  <c r="Q55" i="1"/>
  <c r="Q57" i="1" s="1"/>
  <c r="P63" i="1"/>
  <c r="U43" i="1"/>
  <c r="U46" i="1" s="1"/>
  <c r="T49" i="1"/>
  <c r="T61" i="1" s="1"/>
  <c r="O64" i="1"/>
  <c r="N68" i="1"/>
  <c r="Q62" i="1" l="1"/>
  <c r="Q63" i="1"/>
  <c r="S52" i="1"/>
  <c r="R55" i="1"/>
  <c r="R57" i="1" s="1"/>
  <c r="P74" i="1"/>
  <c r="V43" i="1"/>
  <c r="V46" i="1" s="1"/>
  <c r="U49" i="1"/>
  <c r="U61" i="1" s="1"/>
  <c r="P64" i="1"/>
  <c r="O68" i="1"/>
  <c r="R62" i="1" l="1"/>
  <c r="Q74" i="1"/>
  <c r="T52" i="1"/>
  <c r="S55" i="1"/>
  <c r="S57" i="1" s="1"/>
  <c r="R63" i="1"/>
  <c r="W43" i="1"/>
  <c r="V49" i="1"/>
  <c r="V61" i="1" s="1"/>
  <c r="Q64" i="1"/>
  <c r="P68" i="1"/>
  <c r="W46" i="1" l="1"/>
  <c r="B46" i="1" s="1"/>
  <c r="B43" i="1"/>
  <c r="S62" i="1"/>
  <c r="S63" i="1"/>
  <c r="U52" i="1"/>
  <c r="T55" i="1"/>
  <c r="T57" i="1" s="1"/>
  <c r="R74" i="1"/>
  <c r="R64" i="1"/>
  <c r="Q68" i="1"/>
  <c r="W49" i="1" l="1"/>
  <c r="T62" i="1"/>
  <c r="T63" i="1"/>
  <c r="V52" i="1"/>
  <c r="U55" i="1"/>
  <c r="U57" i="1" s="1"/>
  <c r="S74" i="1"/>
  <c r="S64" i="1"/>
  <c r="R68" i="1"/>
  <c r="W61" i="1" l="1"/>
  <c r="B49" i="1"/>
  <c r="U62" i="1"/>
  <c r="T74" i="1"/>
  <c r="U63" i="1"/>
  <c r="W52" i="1"/>
  <c r="V55" i="1"/>
  <c r="V57" i="1" s="1"/>
  <c r="T64" i="1"/>
  <c r="S68" i="1"/>
  <c r="V62" i="1" l="1"/>
  <c r="W55" i="1"/>
  <c r="W57" i="1" s="1"/>
  <c r="B52" i="1"/>
  <c r="V63" i="1"/>
  <c r="U74" i="1"/>
  <c r="U64" i="1"/>
  <c r="T68" i="1"/>
  <c r="W62" i="1" l="1"/>
  <c r="C83" i="1" s="1"/>
  <c r="E151" i="2" s="1"/>
  <c r="B55" i="1"/>
  <c r="W63" i="1"/>
  <c r="C82" i="1" s="1"/>
  <c r="V74" i="1"/>
  <c r="W74" i="1" s="1"/>
  <c r="B57" i="1"/>
  <c r="C84" i="1"/>
  <c r="C151" i="2" s="1"/>
  <c r="V64" i="1"/>
  <c r="U68" i="1"/>
  <c r="E161" i="2" l="1"/>
  <c r="I161" i="2" s="1"/>
  <c r="J161" i="2" s="1"/>
  <c r="E169" i="2"/>
  <c r="I169" i="2" s="1"/>
  <c r="J169" i="2" s="1"/>
  <c r="E162" i="2"/>
  <c r="I162" i="2" s="1"/>
  <c r="J162" i="2" s="1"/>
  <c r="E170" i="2"/>
  <c r="I170" i="2" s="1"/>
  <c r="J170" i="2" s="1"/>
  <c r="E163" i="2"/>
  <c r="I163" i="2" s="1"/>
  <c r="J163" i="2" s="1"/>
  <c r="E171" i="2"/>
  <c r="I171" i="2" s="1"/>
  <c r="J171" i="2" s="1"/>
  <c r="E164" i="2"/>
  <c r="I164" i="2" s="1"/>
  <c r="J164" i="2" s="1"/>
  <c r="E172" i="2"/>
  <c r="I172" i="2" s="1"/>
  <c r="J172" i="2" s="1"/>
  <c r="E165" i="2"/>
  <c r="I165" i="2" s="1"/>
  <c r="J165" i="2" s="1"/>
  <c r="E173" i="2"/>
  <c r="I173" i="2" s="1"/>
  <c r="J173" i="2" s="1"/>
  <c r="E166" i="2"/>
  <c r="I166" i="2" s="1"/>
  <c r="J166" i="2" s="1"/>
  <c r="E174" i="2"/>
  <c r="I174" i="2" s="1"/>
  <c r="J174" i="2" s="1"/>
  <c r="E167" i="2"/>
  <c r="I167" i="2" s="1"/>
  <c r="J167" i="2" s="1"/>
  <c r="E168" i="2"/>
  <c r="I168" i="2" s="1"/>
  <c r="J168" i="2" s="1"/>
  <c r="B151" i="2"/>
  <c r="E160" i="2"/>
  <c r="I160" i="2" s="1"/>
  <c r="J160" i="2" s="1"/>
  <c r="B133" i="2"/>
  <c r="B142" i="2"/>
  <c r="C133" i="2"/>
  <c r="C142" i="2"/>
  <c r="E133" i="2"/>
  <c r="E142" i="2"/>
  <c r="B115" i="2"/>
  <c r="B124" i="2"/>
  <c r="C115" i="2"/>
  <c r="C124" i="2"/>
  <c r="E115" i="2"/>
  <c r="E124" i="2"/>
  <c r="B97" i="2"/>
  <c r="B106" i="2"/>
  <c r="C97" i="2"/>
  <c r="C106" i="2"/>
  <c r="E97" i="2"/>
  <c r="E106" i="2"/>
  <c r="C79" i="2"/>
  <c r="C88" i="2"/>
  <c r="B79" i="2"/>
  <c r="B88" i="2"/>
  <c r="E79" i="2"/>
  <c r="E88" i="2"/>
  <c r="C61" i="2"/>
  <c r="C70" i="2"/>
  <c r="B61" i="2"/>
  <c r="B70" i="2"/>
  <c r="E61" i="2"/>
  <c r="E70" i="2"/>
  <c r="B43" i="2"/>
  <c r="B52" i="2"/>
  <c r="C43" i="2"/>
  <c r="C52" i="2"/>
  <c r="E43" i="2"/>
  <c r="E52" i="2"/>
  <c r="C34" i="2"/>
  <c r="C25" i="2"/>
  <c r="B34" i="2"/>
  <c r="B25" i="2"/>
  <c r="E34" i="2"/>
  <c r="E25" i="2"/>
  <c r="B75" i="1" a="1"/>
  <c r="B75" i="1" s="1"/>
  <c r="W64" i="1"/>
  <c r="W68" i="1" s="1"/>
  <c r="V68" i="1"/>
  <c r="B77" i="1" l="1" a="1"/>
  <c r="B77" i="1" s="1"/>
  <c r="B76" i="1" a="1"/>
  <c r="B76" i="1" s="1"/>
  <c r="B69" i="1" a="1"/>
  <c r="B69" i="1" s="1"/>
  <c r="B78" i="1" l="1"/>
  <c r="C86" i="1" s="1"/>
  <c r="B71" i="1" a="1"/>
  <c r="B71" i="1" s="1"/>
  <c r="B70" i="1" a="1"/>
  <c r="B70" i="1" s="1"/>
  <c r="B72" i="1" l="1"/>
  <c r="C85" i="1" s="1"/>
  <c r="D151" i="2" s="1"/>
  <c r="D133" i="2" l="1"/>
  <c r="D142" i="2"/>
  <c r="D115" i="2"/>
  <c r="D124" i="2"/>
  <c r="D97" i="2"/>
  <c r="D106" i="2"/>
  <c r="D79" i="2"/>
  <c r="D88" i="2"/>
  <c r="D61" i="2"/>
  <c r="D70" i="2"/>
  <c r="D43" i="2"/>
  <c r="D52" i="2"/>
  <c r="D34" i="2"/>
  <c r="D2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<sst xmlns="http://schemas.openxmlformats.org/spreadsheetml/2006/main" count="255" uniqueCount="167">
  <si>
    <t>Year</t>
  </si>
  <si>
    <t>Total</t>
  </si>
  <si>
    <t>Discounted Payback Period (years)</t>
  </si>
  <si>
    <t>Simple Payback Period (years)</t>
  </si>
  <si>
    <t>Cumulative Net (undiscounted)</t>
  </si>
  <si>
    <t xml:space="preserve">PBP Index </t>
  </si>
  <si>
    <t xml:space="preserve">Simple PBP Index </t>
  </si>
  <si>
    <t>1. Assumptions &amp; Parameters</t>
  </si>
  <si>
    <t>Last Negative Year</t>
  </si>
  <si>
    <t>Next Year Net Benefit</t>
  </si>
  <si>
    <t>Deficit at Last Negative Year</t>
  </si>
  <si>
    <t>Economic discount rate (real)</t>
  </si>
  <si>
    <t>Standard Conversion Factor (SCF)</t>
  </si>
  <si>
    <t>Shadow Wage Rate Factor (SWRF)</t>
  </si>
  <si>
    <t>Shadow Exchange Rate Factor (SERF)</t>
  </si>
  <si>
    <t>Environmental benefit (LKR mn/year)</t>
  </si>
  <si>
    <t>Avoided fuel cost (LKR/kWh)</t>
  </si>
  <si>
    <t>Annual generation (GWh) (Year 1)</t>
  </si>
  <si>
    <t>Employment income per job (LKR mn/yr)</t>
  </si>
  <si>
    <t>Loss of royalty revenue (LKR mn/yr)</t>
  </si>
  <si>
    <t>O&amp;M escalation (per year)</t>
  </si>
  <si>
    <t>CAPEX total (financial, LKR mn)</t>
  </si>
  <si>
    <t>Item</t>
  </si>
  <si>
    <t>Total CAPEX (Economic)</t>
  </si>
  <si>
    <t>Financial</t>
  </si>
  <si>
    <t>Split</t>
  </si>
  <si>
    <t>Conv</t>
  </si>
  <si>
    <t>Economic</t>
  </si>
  <si>
    <t>Energy (GWh)</t>
  </si>
  <si>
    <t>Total Economic Benefits (LKR mn)</t>
  </si>
  <si>
    <t>Env. Impact Cost One-time (LKR mn)</t>
  </si>
  <si>
    <t>Total Economic Costs (LKR mn)</t>
  </si>
  <si>
    <t>Net Economic Flow (LKR mn)</t>
  </si>
  <si>
    <t>3. Economic Cash Flow Analysis</t>
  </si>
  <si>
    <t>2. Conversion of Financial Costs to Economic Costs</t>
  </si>
  <si>
    <t>4.Present Value Calculations</t>
  </si>
  <si>
    <t>5.Supporting Payback Calculations</t>
  </si>
  <si>
    <t>6.Results Summary</t>
  </si>
  <si>
    <t>Avoided Fuel (LKR mn)</t>
  </si>
  <si>
    <t>CO₂ (LKR mn)</t>
  </si>
  <si>
    <t>Employment (LKR mn)</t>
  </si>
  <si>
    <t>Other / Royalty (LKR mn)</t>
  </si>
  <si>
    <t>CAPEX (LKR mn)</t>
  </si>
  <si>
    <t>O&amp;M (LKR mn)</t>
  </si>
  <si>
    <t>Total O&amp;M (Economic, yr 1)</t>
  </si>
  <si>
    <t xml:space="preserve">CAPEX </t>
  </si>
  <si>
    <t>Foreign component</t>
  </si>
  <si>
    <t>Local goods/services</t>
  </si>
  <si>
    <t>Local labour</t>
  </si>
  <si>
    <t>O&amp;M</t>
  </si>
  <si>
    <t>Foreign content (yr 1)</t>
  </si>
  <si>
    <t>Local goods (yr 1)</t>
  </si>
  <si>
    <t>Local labour (yr 1)</t>
  </si>
  <si>
    <t xml:space="preserve">EPV of Benefits </t>
  </si>
  <si>
    <t xml:space="preserve">EPV of Costs </t>
  </si>
  <si>
    <t>EPV of Net Benefits (LKR mn)</t>
  </si>
  <si>
    <t xml:space="preserve">Cumulative EPV Net </t>
  </si>
  <si>
    <t>Cumulative EPV Net (discounted)</t>
  </si>
  <si>
    <t>ENPV (LKR mn)</t>
  </si>
  <si>
    <t>EBCR</t>
  </si>
  <si>
    <t>EIRR</t>
  </si>
  <si>
    <t>Module degradation (per year)</t>
  </si>
  <si>
    <t>CO₂ avoided (ton/year)</t>
  </si>
  <si>
    <t>Social cost of carbon (LKR/ton)</t>
  </si>
  <si>
    <t>Environmental impact cost Year 0 (LKR mn)</t>
  </si>
  <si>
    <t>Tariff (LKR/kWh)</t>
  </si>
  <si>
    <t>Efficiency derate (Performance Ratio)</t>
  </si>
  <si>
    <t>O&amp;M % of CapEx (financial) Year 1</t>
  </si>
  <si>
    <t>Tariff revenue (LKR mn)</t>
  </si>
  <si>
    <t xml:space="preserve">Economic Benefit - Cost Analysis (EBCA) – Siyambalanduwa 100 MW Solar </t>
  </si>
  <si>
    <t>Employment (jobs) for year 0</t>
  </si>
  <si>
    <t>Economic Benefit</t>
  </si>
  <si>
    <t>Economic costs</t>
  </si>
  <si>
    <t>Employment (jobs) after year 0</t>
  </si>
  <si>
    <t xml:space="preserve">Economic Sensitivity Analysis – Siyambalanduwa 100 MW Solar </t>
  </si>
  <si>
    <t xml:space="preserve">Base Case Inputs (Linked to Economic BCA Model) </t>
  </si>
  <si>
    <t>Avoided Fuel Cost (LKR/kWh)</t>
  </si>
  <si>
    <t>EIRR (%)</t>
  </si>
  <si>
    <t>EPBP (yrs)</t>
  </si>
  <si>
    <t>(a) Avoided Fuel Cost Sensitivity</t>
  </si>
  <si>
    <t>Annual Generation (GWh)</t>
  </si>
  <si>
    <t>CapEx (LKR Mn)</t>
  </si>
  <si>
    <t>19 (Base)</t>
  </si>
  <si>
    <t>180 (Base)</t>
  </si>
  <si>
    <t>(b) Annual Generation Sensitivity</t>
  </si>
  <si>
    <t>14833.65 (Base)</t>
  </si>
  <si>
    <t>(c) CapEx Sensitivity</t>
  </si>
  <si>
    <t>Economic Discount Rate</t>
  </si>
  <si>
    <t>9% (Base)</t>
  </si>
  <si>
    <t>(d) Economic Discount Rate Sensitivity</t>
  </si>
  <si>
    <t>(e) Social Cost of Carbon Sensitivity</t>
  </si>
  <si>
    <t>Social Cost of Carbon (LKR/ton)</t>
  </si>
  <si>
    <t>10000 (Base)</t>
  </si>
  <si>
    <t>SCF</t>
  </si>
  <si>
    <t>0.8 (Base)</t>
  </si>
  <si>
    <t>0.9 (Base)</t>
  </si>
  <si>
    <t>SWRF</t>
  </si>
  <si>
    <t>(f) SCF Sensitivity</t>
  </si>
  <si>
    <t>(g) SWRF Sensitivity</t>
  </si>
  <si>
    <t>(h) SERF Sensitivity</t>
  </si>
  <si>
    <t>SERF</t>
  </si>
  <si>
    <t>1.1 (Base)</t>
  </si>
  <si>
    <t>O&amp;M % of CapEx</t>
  </si>
  <si>
    <t>1 (Base)</t>
  </si>
  <si>
    <t>(i) O&amp;M Sensitivity</t>
  </si>
  <si>
    <t>(j) O&amp;M Escalation Sensitivity</t>
  </si>
  <si>
    <t>O&amp;M Escalation</t>
  </si>
  <si>
    <t>5% (Base)</t>
  </si>
  <si>
    <t>(k) Employment at installation Sensitivity</t>
  </si>
  <si>
    <t>(k) Employment after installation Sensitivity</t>
  </si>
  <si>
    <t>Employment at installation</t>
  </si>
  <si>
    <t>Employment after installation</t>
  </si>
  <si>
    <t>(k) Employment income per yr Sensitivity</t>
  </si>
  <si>
    <t xml:space="preserve"> Employment income/yr (LKR Mn)</t>
  </si>
  <si>
    <t>100 (Base)</t>
  </si>
  <si>
    <t>1000 (Base)</t>
  </si>
  <si>
    <t>(j) Royalty Loss Sensitivity</t>
  </si>
  <si>
    <t>Royalty Loss (LKR Mn)</t>
  </si>
  <si>
    <t>15 (Base)</t>
  </si>
  <si>
    <t>(k) Environmental Impact Sensitivity</t>
  </si>
  <si>
    <t>Environmental Impact (LKR Mn)</t>
  </si>
  <si>
    <t>30 (Base)</t>
  </si>
  <si>
    <t>1% (Base)</t>
  </si>
  <si>
    <t>Parameter</t>
  </si>
  <si>
    <t>Base Value</t>
  </si>
  <si>
    <t>Range Tested</t>
  </si>
  <si>
    <t>ENPV @ Low (LKR Mn)</t>
  </si>
  <si>
    <t>ENPV @ High (LKR Mn)</t>
  </si>
  <si>
    <t>Sensitivity Index (E)</t>
  </si>
  <si>
    <t>Sensitivity Level</t>
  </si>
  <si>
    <t>Remark</t>
  </si>
  <si>
    <t>±20%</t>
  </si>
  <si>
    <t>Annual Generation (GWh, Year 1)</t>
  </si>
  <si>
    <t>±10%</t>
  </si>
  <si>
    <t>±15%</t>
  </si>
  <si>
    <t>Economic Discount Rate (real)</t>
  </si>
  <si>
    <t>7–11%</t>
  </si>
  <si>
    <t>±50%</t>
  </si>
  <si>
    <t>0.85–0.95</t>
  </si>
  <si>
    <t>0.70–1.00</t>
  </si>
  <si>
    <t>1.00–1.20</t>
  </si>
  <si>
    <t>O&amp;M Initial (% of CapEx)</t>
  </si>
  <si>
    <t>O&amp;M Escalation (per year)</t>
  </si>
  <si>
    <t>3–7%</t>
  </si>
  <si>
    <t>Employment during Installation (jobs)</t>
  </si>
  <si>
    <t>Employment after Installation (jobs)</t>
  </si>
  <si>
    <t>Employment Income per Job (LKR Mn/yr)</t>
  </si>
  <si>
    <t>Loss of Royalty Revenue (LKR Mn/yr)</t>
  </si>
  <si>
    <t>Environmental Impact Cost (LKR Mn)</t>
  </si>
  <si>
    <t>Sensitivity Summary</t>
  </si>
  <si>
    <t>Frac Change</t>
  </si>
  <si>
    <t>Base ENPV (LKR Mn)</t>
  </si>
  <si>
    <t>Strongest influence on ENPV; project highly sensitive to fuel price assumptions and energy value in the economy.</t>
  </si>
  <si>
    <t>Economic returns directly depend on annual energy yield; stable generation performance is crucial.</t>
  </si>
  <si>
    <t>Moderate sensitivity; cost overruns or savings moderately affect overall project value.</t>
  </si>
  <si>
    <t>Noticeable impact; lower discount rates significantly improve ENPV, highlighting financing importance.</t>
  </si>
  <si>
    <t>Minor sensitivity; environmental benefit changes affect ENPV modestly compared to energy-related factors.</t>
  </si>
  <si>
    <t>Very small effect; local conversion factor changes have limited influence on total economic value.</t>
  </si>
  <si>
    <t>Minimal impact; labour cost share small relative to capital and energy benefits.</t>
  </si>
  <si>
    <t>Low–moderate effect; import component exposure slightly alters economic cost.</t>
  </si>
  <si>
    <t>Negligible influence; operating cost level changes have minimal effect on ENPV.</t>
  </si>
  <si>
    <t>Very low impact; long-term escalation effect is discounted over time.</t>
  </si>
  <si>
    <t>Limited influence; short-term employment benefits are minor in total project economics.</t>
  </si>
  <si>
    <t>Insignificant sensitivity; long-term job creation adds little to overall ENPV.</t>
  </si>
  <si>
    <t>Marginal impact; changes in wage assumptions have limited effect on total benefits.</t>
  </si>
  <si>
    <t>No measurable impact; fiscal transfer negligible compared to total benefits.</t>
  </si>
  <si>
    <t>Very small one-time cost; nearly neutral effect on economic viability.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</si>
</sst>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0DA"/>
        <bgColor rgb="FF000000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0">
    <xf numFmtId="0" fontId="0" fillId="0" borderId="0" xfId="0"/>
    <xf numFmtId="4" fontId="0" fillId="0" borderId="1" xfId="0" applyNumberFormat="1" applyBorder="1"/>
    <xf numFmtId="0" fontId="0" fillId="0" borderId="1" xfId="0" applyBorder="1"/>
    <xf numFmtId="0" fontId="0" fillId="3" borderId="1" xfId="0" applyFill="1" applyBorder="1"/>
    <xf numFmtId="0" fontId="2" fillId="2" borderId="1" xfId="0" applyFont="1" applyFill="1" applyBorder="1"/>
    <xf numFmtId="10" fontId="0" fillId="2" borderId="1" xfId="0" applyNumberFormat="1" applyFill="1" applyBorder="1"/>
    <xf numFmtId="0" fontId="0" fillId="2" borderId="1" xfId="0" applyFill="1" applyBorder="1"/>
    <xf numFmtId="4" fontId="0" fillId="0" borderId="0" xfId="0" applyNumberFormat="1"/>
    <xf numFmtId="0" fontId="0" fillId="0" borderId="3" xfId="0" applyBorder="1"/>
    <xf numFmtId="10" fontId="0" fillId="0" borderId="5" xfId="0" applyNumberFormat="1" applyBorder="1"/>
    <xf numFmtId="0" fontId="0" fillId="0" borderId="1" xfId="0" applyBorder="1" applyAlignment="1">
      <alignment horizontal="left"/>
    </xf>
    <xf numFmtId="0" fontId="2" fillId="0" borderId="11" xfId="0" applyFont="1" applyBorder="1"/>
    <xf numFmtId="0" fontId="2" fillId="5" borderId="14" xfId="0" applyFont="1" applyFill="1" applyBorder="1"/>
    <xf numFmtId="0" fontId="2" fillId="2" borderId="7" xfId="0" applyFont="1" applyFill="1" applyBorder="1"/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  <xf numFmtId="4" fontId="0" fillId="4" borderId="6" xfId="0" applyNumberFormat="1" applyFill="1" applyBorder="1"/>
    <xf numFmtId="0" fontId="0" fillId="3" borderId="9" xfId="0" applyFill="1" applyBorder="1"/>
    <xf numFmtId="4" fontId="0" fillId="3" borderId="16" xfId="0" applyNumberFormat="1" applyFill="1" applyBorder="1"/>
    <xf numFmtId="0" fontId="0" fillId="0" borderId="7" xfId="0" applyBorder="1"/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17" xfId="0" applyBorder="1"/>
    <xf numFmtId="0" fontId="0" fillId="0" borderId="22" xfId="0" applyBorder="1"/>
    <xf numFmtId="0" fontId="0" fillId="0" borderId="1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23" xfId="0" applyBorder="1"/>
    <xf numFmtId="0" fontId="0" fillId="0" borderId="25" xfId="0" applyBorder="1"/>
    <xf numFmtId="0" fontId="0" fillId="0" borderId="5" xfId="0" applyBorder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4" fontId="2" fillId="5" borderId="14" xfId="0" applyNumberFormat="1" applyFont="1" applyFill="1" applyBorder="1"/>
    <xf numFmtId="9" fontId="0" fillId="0" borderId="25" xfId="0" applyNumberFormat="1" applyBorder="1"/>
    <xf numFmtId="9" fontId="0" fillId="0" borderId="5" xfId="0" applyNumberFormat="1" applyBorder="1"/>
    <xf numFmtId="0" fontId="0" fillId="0" borderId="11" xfId="0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8" xfId="0" applyFont="1" applyFill="1" applyBorder="1" applyAlignment="1">
      <alignment vertical="center" wrapText="1"/>
    </xf>
    <xf numFmtId="0" fontId="0" fillId="4" borderId="11" xfId="0" applyFill="1" applyBorder="1" applyAlignment="1">
      <alignment vertical="center" wrapText="1"/>
    </xf>
    <xf numFmtId="0" fontId="0" fillId="4" borderId="18" xfId="0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2" fillId="4" borderId="24" xfId="0" applyFont="1" applyFill="1" applyBorder="1" applyAlignment="1">
      <alignment vertical="center" wrapText="1"/>
    </xf>
    <xf numFmtId="0" fontId="2" fillId="4" borderId="23" xfId="0" applyFont="1" applyFill="1" applyBorder="1" applyAlignment="1">
      <alignment vertical="center" wrapText="1"/>
    </xf>
    <xf numFmtId="0" fontId="0" fillId="4" borderId="24" xfId="0" applyFill="1" applyBorder="1" applyAlignment="1">
      <alignment vertical="center" wrapText="1"/>
    </xf>
    <xf numFmtId="0" fontId="0" fillId="4" borderId="23" xfId="0" applyFill="1" applyBorder="1" applyAlignment="1">
      <alignment vertical="center" wrapText="1"/>
    </xf>
    <xf numFmtId="0" fontId="2" fillId="3" borderId="1" xfId="0" applyFont="1" applyFill="1" applyBorder="1"/>
    <xf numFmtId="4" fontId="2" fillId="3" borderId="1" xfId="0" applyNumberFormat="1" applyFont="1" applyFill="1" applyBorder="1"/>
    <xf numFmtId="0" fontId="2" fillId="7" borderId="15" xfId="0" applyFont="1" applyFill="1" applyBorder="1"/>
    <xf numFmtId="0" fontId="0" fillId="6" borderId="26" xfId="0" applyFill="1" applyBorder="1"/>
    <xf numFmtId="0" fontId="0" fillId="5" borderId="4" xfId="0" applyFill="1" applyBorder="1"/>
    <xf numFmtId="0" fontId="2" fillId="6" borderId="1" xfId="0" applyFont="1" applyFill="1" applyBorder="1"/>
    <xf numFmtId="0" fontId="2" fillId="7" borderId="9" xfId="0" applyFont="1" applyFill="1" applyBorder="1"/>
    <xf numFmtId="0" fontId="2" fillId="7" borderId="10" xfId="0" applyFont="1" applyFill="1" applyBorder="1"/>
    <xf numFmtId="0" fontId="0" fillId="0" borderId="13" xfId="0" applyBorder="1"/>
    <xf numFmtId="0" fontId="0" fillId="3" borderId="3" xfId="0" applyFill="1" applyBorder="1"/>
    <xf numFmtId="0" fontId="2" fillId="3" borderId="13" xfId="0" applyFont="1" applyFill="1" applyBorder="1"/>
    <xf numFmtId="4" fontId="2" fillId="3" borderId="13" xfId="0" applyNumberFormat="1" applyFont="1" applyFill="1" applyBorder="1"/>
    <xf numFmtId="0" fontId="2" fillId="6" borderId="13" xfId="0" applyFont="1" applyFill="1" applyBorder="1"/>
    <xf numFmtId="0" fontId="2" fillId="0" borderId="1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1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4" fontId="0" fillId="0" borderId="5" xfId="0" applyNumberFormat="1" applyBorder="1"/>
    <xf numFmtId="0" fontId="0" fillId="0" borderId="12" xfId="0" applyBorder="1"/>
    <xf numFmtId="4" fontId="2" fillId="5" borderId="27" xfId="0" applyNumberFormat="1" applyFont="1" applyFill="1" applyBorder="1"/>
    <xf numFmtId="0" fontId="0" fillId="0" borderId="7" xfId="0" applyBorder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19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1" fillId="5" borderId="0" xfId="0" applyFont="1" applyFill="1" applyAlignment="1">
      <alignment horizontal="center"/>
    </xf>
    <xf numFmtId="0" fontId="2" fillId="8" borderId="0" xfId="0" applyFont="1" applyFill="1"/>
    <xf numFmtId="0" fontId="1" fillId="8" borderId="0" xfId="0" applyFont="1" applyFill="1"/>
    <xf numFmtId="0" fontId="0" fillId="0" borderId="4" xfId="0" applyBorder="1"/>
    <xf numFmtId="0" fontId="0" fillId="0" borderId="28" xfId="0" applyBorder="1"/>
    <xf numFmtId="0" fontId="0" fillId="0" borderId="3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0" xfId="0" applyFill="1"/>
    <xf numFmtId="0" fontId="0" fillId="0" borderId="3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24" xfId="0" applyBorder="1"/>
    <xf numFmtId="10" fontId="0" fillId="0" borderId="24" xfId="0" applyNumberFormat="1" applyBorder="1"/>
    <xf numFmtId="0" fontId="0" fillId="0" borderId="32" xfId="0" applyBorder="1"/>
    <xf numFmtId="0" fontId="0" fillId="0" borderId="6" xfId="0" applyBorder="1"/>
    <xf numFmtId="0" fontId="0" fillId="0" borderId="24" xfId="0" applyBorder="1" applyAlignment="1">
      <alignment horizontal="right"/>
    </xf>
    <xf numFmtId="0" fontId="0" fillId="0" borderId="25" xfId="0" applyNumberFormat="1" applyBorder="1"/>
    <xf numFmtId="10" fontId="0" fillId="0" borderId="23" xfId="0" applyNumberFormat="1" applyBorder="1"/>
    <xf numFmtId="0" fontId="5" fillId="9" borderId="0" xfId="0" applyFont="1" applyFill="1"/>
    <xf numFmtId="0" fontId="4" fillId="0" borderId="0" xfId="0" applyFont="1"/>
    <xf numFmtId="0" fontId="4" fillId="9" borderId="0" xfId="0" applyFont="1" applyFill="1"/>
    <xf numFmtId="0" fontId="4" fillId="0" borderId="6" xfId="0" applyFont="1" applyBorder="1"/>
    <xf numFmtId="0" fontId="0" fillId="0" borderId="33" xfId="0" applyBorder="1"/>
    <xf numFmtId="0" fontId="4" fillId="0" borderId="33" xfId="0" applyFont="1" applyBorder="1"/>
    <xf numFmtId="0" fontId="4" fillId="0" borderId="24" xfId="0" applyFont="1" applyBorder="1" applyAlignment="1">
      <alignment horizontal="right"/>
    </xf>
    <xf numFmtId="0" fontId="4" fillId="0" borderId="32" xfId="0" applyFont="1" applyBorder="1"/>
    <xf numFmtId="10" fontId="4" fillId="0" borderId="32" xfId="0" applyNumberFormat="1" applyFont="1" applyBorder="1"/>
    <xf numFmtId="0" fontId="4" fillId="0" borderId="24" xfId="0" applyFont="1" applyBorder="1"/>
    <xf numFmtId="0" fontId="4" fillId="0" borderId="23" xfId="0" applyFont="1" applyBorder="1"/>
    <xf numFmtId="0" fontId="4" fillId="0" borderId="34" xfId="0" applyFont="1" applyBorder="1"/>
    <xf numFmtId="10" fontId="4" fillId="0" borderId="34" xfId="0" applyNumberFormat="1" applyFont="1" applyBorder="1"/>
    <xf numFmtId="9" fontId="4" fillId="0" borderId="24" xfId="0" applyNumberFormat="1" applyFont="1" applyBorder="1"/>
    <xf numFmtId="9" fontId="4" fillId="0" borderId="23" xfId="0" applyNumberFormat="1" applyFont="1" applyBorder="1"/>
    <xf numFmtId="0" fontId="4" fillId="0" borderId="24" xfId="0" applyNumberFormat="1" applyFont="1" applyBorder="1" applyAlignment="1">
      <alignment horizontal="right"/>
    </xf>
    <xf numFmtId="0" fontId="4" fillId="0" borderId="24" xfId="0" applyNumberFormat="1" applyFont="1" applyBorder="1"/>
    <xf numFmtId="0" fontId="4" fillId="0" borderId="23" xfId="0" applyNumberFormat="1" applyFont="1" applyBorder="1"/>
    <xf numFmtId="2" fontId="4" fillId="0" borderId="23" xfId="0" applyNumberFormat="1" applyFont="1" applyBorder="1"/>
    <xf numFmtId="2" fontId="4" fillId="0" borderId="24" xfId="0" applyNumberFormat="1" applyFont="1" applyBorder="1"/>
    <xf numFmtId="10" fontId="4" fillId="0" borderId="24" xfId="0" applyNumberFormat="1" applyFont="1" applyBorder="1"/>
    <xf numFmtId="10" fontId="4" fillId="0" borderId="23" xfId="0" applyNumberFormat="1" applyFont="1" applyBorder="1"/>
    <xf numFmtId="9" fontId="4" fillId="0" borderId="24" xfId="1" applyFont="1" applyBorder="1"/>
    <xf numFmtId="9" fontId="4" fillId="0" borderId="23" xfId="1" applyFont="1" applyBorder="1"/>
    <xf numFmtId="0" fontId="0" fillId="0" borderId="11" xfId="0" applyBorder="1"/>
    <xf numFmtId="0" fontId="0" fillId="0" borderId="18" xfId="0" applyBorder="1"/>
    <xf numFmtId="0" fontId="0" fillId="0" borderId="34" xfId="0" applyBorder="1"/>
    <xf numFmtId="4" fontId="0" fillId="0" borderId="24" xfId="0" applyNumberFormat="1" applyBorder="1"/>
    <xf numFmtId="3" fontId="0" fillId="0" borderId="24" xfId="0" applyNumberFormat="1" applyBorder="1"/>
    <xf numFmtId="4" fontId="0" fillId="0" borderId="23" xfId="0" applyNumberFormat="1" applyBorder="1"/>
    <xf numFmtId="0" fontId="0" fillId="0" borderId="0" xfId="0" applyBorder="1"/>
    <xf numFmtId="0" fontId="0" fillId="0" borderId="35" xfId="0" applyBorder="1"/>
    <xf numFmtId="0" fontId="0" fillId="0" borderId="2" xfId="0" applyBorder="1"/>
    <xf numFmtId="0" fontId="0" fillId="0" borderId="36" xfId="0" applyBorder="1"/>
    <xf numFmtId="0" fontId="0" fillId="0" borderId="23" xfId="0" applyBorder="1" applyAlignment="1">
      <alignment horizontal="right"/>
    </xf>
    <xf numFmtId="4" fontId="0" fillId="0" borderId="24" xfId="0" applyNumberFormat="1" applyBorder="1" applyAlignment="1">
      <alignment horizontal="right"/>
    </xf>
    <xf numFmtId="4" fontId="0" fillId="0" borderId="23" xfId="0" applyNumberFormat="1" applyBorder="1" applyAlignment="1">
      <alignment horizontal="right"/>
    </xf>
    <xf numFmtId="2" fontId="0" fillId="0" borderId="24" xfId="0" applyNumberFormat="1" applyBorder="1"/>
    <xf numFmtId="2" fontId="0" fillId="0" borderId="23" xfId="0" applyNumberFormat="1" applyBorder="1"/>
    <xf numFmtId="170" fontId="0" fillId="0" borderId="24" xfId="0" applyNumberFormat="1" applyBorder="1"/>
    <xf numFmtId="170" fontId="0" fillId="0" borderId="23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ema\Desktop\Our%20group%20project\Siyambalanduwa_FBCA%20-%20Sensitivity%20Analysis.xlsx" TargetMode="External"/><Relationship Id="rId1" Type="http://schemas.openxmlformats.org/officeDocument/2006/relationships/externalLinkPath" Target="Siyambalanduwa_FBCA%20-%20Sensitivity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BCA"/>
      <sheetName val="Sensitivity_Analysis"/>
    </sheetNames>
    <sheetDataSet>
      <sheetData sheetId="0">
        <row r="54">
          <cell r="C54">
            <v>2149.5217585367518</v>
          </cell>
        </row>
        <row r="55">
          <cell r="C55">
            <v>1.1302014727354981</v>
          </cell>
        </row>
        <row r="56">
          <cell r="C56">
            <v>0.11066572456360646</v>
          </cell>
        </row>
        <row r="57">
          <cell r="C57">
            <v>14.2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6"/>
  <sheetViews>
    <sheetView topLeftCell="A3" workbookViewId="0">
      <selection activeCell="B18" sqref="B18"/>
    </sheetView>
  </sheetViews>
  <sheetFormatPr defaultRowHeight="14.5" x14ac:dyDescent="0.35"/>
  <cols>
    <col min="1" max="1" width="40.6328125" customWidth="1"/>
    <col min="2" max="2" width="16.6328125" customWidth="1"/>
    <col min="3" max="24" width="12.6328125" customWidth="1"/>
  </cols>
  <sheetData>
    <row r="1" spans="1:23" ht="15.5" x14ac:dyDescent="0.35">
      <c r="A1" s="69" t="s">
        <v>69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</row>
    <row r="3" spans="1:23" x14ac:dyDescent="0.35">
      <c r="A3" s="15" t="s">
        <v>7</v>
      </c>
      <c r="B3" s="14"/>
    </row>
    <row r="4" spans="1:23" ht="15" thickBot="1" x14ac:dyDescent="0.4">
      <c r="A4" s="16"/>
    </row>
    <row r="5" spans="1:23" ht="15" thickBot="1" x14ac:dyDescent="0.4">
      <c r="A5" s="28" t="s">
        <v>11</v>
      </c>
      <c r="B5" s="33">
        <f>Sensitivity_Analysis!C5</f>
        <v>0.09</v>
      </c>
    </row>
    <row r="6" spans="1:23" ht="15" thickBot="1" x14ac:dyDescent="0.4">
      <c r="A6" s="29" t="s">
        <v>12</v>
      </c>
      <c r="B6" s="97">
        <f>Sensitivity_Analysis!C6</f>
        <v>0.9</v>
      </c>
    </row>
    <row r="7" spans="1:23" ht="15" thickBot="1" x14ac:dyDescent="0.4">
      <c r="A7" s="29" t="s">
        <v>13</v>
      </c>
      <c r="B7" s="97">
        <f>Sensitivity_Analysis!C7</f>
        <v>0.8</v>
      </c>
    </row>
    <row r="8" spans="1:23" x14ac:dyDescent="0.35">
      <c r="A8" s="29" t="s">
        <v>14</v>
      </c>
      <c r="B8" s="97">
        <f>Sensitivity_Analysis!C8</f>
        <v>1.1000000000000001</v>
      </c>
    </row>
    <row r="9" spans="1:23" x14ac:dyDescent="0.35">
      <c r="A9" s="29" t="s">
        <v>62</v>
      </c>
      <c r="B9" s="29">
        <v>147582</v>
      </c>
    </row>
    <row r="10" spans="1:23" x14ac:dyDescent="0.35">
      <c r="A10" s="29" t="s">
        <v>63</v>
      </c>
      <c r="B10" s="29">
        <f>Sensitivity_Analysis!C9</f>
        <v>10000</v>
      </c>
      <c r="H10" s="7"/>
    </row>
    <row r="11" spans="1:23" x14ac:dyDescent="0.35">
      <c r="A11" s="29" t="s">
        <v>15</v>
      </c>
      <c r="B11" s="29">
        <f>B9*B10/1000000</f>
        <v>1475.82</v>
      </c>
    </row>
    <row r="12" spans="1:23" x14ac:dyDescent="0.35">
      <c r="A12" s="29" t="s">
        <v>16</v>
      </c>
      <c r="B12" s="29">
        <f>Sensitivity_Analysis!C10</f>
        <v>19</v>
      </c>
    </row>
    <row r="13" spans="1:23" x14ac:dyDescent="0.35">
      <c r="A13" s="29" t="s">
        <v>17</v>
      </c>
      <c r="B13" s="29">
        <f>Sensitivity_Analysis!C11</f>
        <v>180</v>
      </c>
    </row>
    <row r="14" spans="1:23" x14ac:dyDescent="0.35">
      <c r="A14" s="8" t="s">
        <v>66</v>
      </c>
      <c r="B14" s="9">
        <v>0.85</v>
      </c>
    </row>
    <row r="15" spans="1:23" x14ac:dyDescent="0.35">
      <c r="A15" s="8" t="s">
        <v>65</v>
      </c>
      <c r="B15" s="65">
        <v>14</v>
      </c>
    </row>
    <row r="16" spans="1:23" x14ac:dyDescent="0.35">
      <c r="A16" s="29" t="s">
        <v>61</v>
      </c>
      <c r="B16" s="9">
        <v>7.0000000000000001E-3</v>
      </c>
    </row>
    <row r="17" spans="1:5" x14ac:dyDescent="0.35">
      <c r="A17" s="29" t="s">
        <v>73</v>
      </c>
      <c r="B17" s="29">
        <f>Sensitivity_Analysis!C12</f>
        <v>100</v>
      </c>
    </row>
    <row r="18" spans="1:5" x14ac:dyDescent="0.35">
      <c r="A18" s="29" t="s">
        <v>70</v>
      </c>
      <c r="B18" s="29">
        <f>Sensitivity_Analysis!C13</f>
        <v>1000</v>
      </c>
    </row>
    <row r="19" spans="1:5" x14ac:dyDescent="0.35">
      <c r="A19" s="29" t="s">
        <v>18</v>
      </c>
      <c r="B19" s="29">
        <f>Sensitivity_Analysis!C14</f>
        <v>1</v>
      </c>
    </row>
    <row r="20" spans="1:5" x14ac:dyDescent="0.35">
      <c r="A20" s="29" t="s">
        <v>19</v>
      </c>
      <c r="B20" s="29">
        <f>Sensitivity_Analysis!C15</f>
        <v>15</v>
      </c>
    </row>
    <row r="21" spans="1:5" x14ac:dyDescent="0.35">
      <c r="A21" s="29" t="s">
        <v>64</v>
      </c>
      <c r="B21" s="29">
        <f>Sensitivity_Analysis!C16</f>
        <v>30</v>
      </c>
    </row>
    <row r="22" spans="1:5" x14ac:dyDescent="0.35">
      <c r="A22" s="29" t="s">
        <v>20</v>
      </c>
      <c r="B22" s="34">
        <f>Sensitivity_Analysis!C17</f>
        <v>0.05</v>
      </c>
    </row>
    <row r="23" spans="1:5" x14ac:dyDescent="0.35">
      <c r="A23" s="29" t="s">
        <v>67</v>
      </c>
      <c r="B23" s="34">
        <f>Sensitivity_Analysis!C18</f>
        <v>0.01</v>
      </c>
    </row>
    <row r="24" spans="1:5" ht="15" thickBot="1" x14ac:dyDescent="0.4">
      <c r="A24" s="27" t="s">
        <v>21</v>
      </c>
      <c r="B24" s="27">
        <f>Sensitivity_Analysis!C19</f>
        <v>14833.65</v>
      </c>
    </row>
    <row r="26" spans="1:5" x14ac:dyDescent="0.35">
      <c r="A26" s="14" t="s">
        <v>34</v>
      </c>
      <c r="B26" s="14"/>
    </row>
    <row r="27" spans="1:5" ht="15" thickBot="1" x14ac:dyDescent="0.4"/>
    <row r="28" spans="1:5" ht="15" thickBot="1" x14ac:dyDescent="0.4">
      <c r="A28" s="36" t="s">
        <v>22</v>
      </c>
      <c r="B28" s="36" t="s">
        <v>24</v>
      </c>
      <c r="C28" s="41" t="s">
        <v>25</v>
      </c>
      <c r="D28" s="41" t="s">
        <v>26</v>
      </c>
      <c r="E28" s="41" t="s">
        <v>27</v>
      </c>
    </row>
    <row r="29" spans="1:5" x14ac:dyDescent="0.35">
      <c r="A29" s="62" t="s">
        <v>45</v>
      </c>
      <c r="B29" s="60"/>
      <c r="C29" s="61"/>
      <c r="D29" s="61"/>
      <c r="E29" s="61"/>
    </row>
    <row r="30" spans="1:5" x14ac:dyDescent="0.35">
      <c r="A30" s="35" t="s">
        <v>46</v>
      </c>
      <c r="B30" s="35">
        <f>B24</f>
        <v>14833.65</v>
      </c>
      <c r="C30" s="42">
        <v>0.6</v>
      </c>
      <c r="D30" s="42">
        <f>B8</f>
        <v>1.1000000000000001</v>
      </c>
      <c r="E30" s="42">
        <f>B30*C30*D30</f>
        <v>9790.2089999999989</v>
      </c>
    </row>
    <row r="31" spans="1:5" x14ac:dyDescent="0.35">
      <c r="A31" s="35" t="s">
        <v>47</v>
      </c>
      <c r="B31" s="35">
        <f>B24</f>
        <v>14833.65</v>
      </c>
      <c r="C31" s="42">
        <v>0.3</v>
      </c>
      <c r="D31" s="42">
        <f>B6</f>
        <v>0.9</v>
      </c>
      <c r="E31" s="42">
        <f t="shared" ref="E31:E32" si="0">B31*C31*D31</f>
        <v>4005.0854999999997</v>
      </c>
    </row>
    <row r="32" spans="1:5" x14ac:dyDescent="0.35">
      <c r="A32" s="35" t="s">
        <v>48</v>
      </c>
      <c r="B32" s="35">
        <f>B24</f>
        <v>14833.65</v>
      </c>
      <c r="C32" s="42">
        <v>0.1</v>
      </c>
      <c r="D32" s="42">
        <f>B7</f>
        <v>0.8</v>
      </c>
      <c r="E32" s="42">
        <f t="shared" si="0"/>
        <v>1186.692</v>
      </c>
    </row>
    <row r="33" spans="1:23" x14ac:dyDescent="0.35">
      <c r="A33" s="37" t="s">
        <v>23</v>
      </c>
      <c r="B33" s="39"/>
      <c r="C33" s="45"/>
      <c r="D33" s="45"/>
      <c r="E33" s="43">
        <f>SUM(E30:E32)</f>
        <v>14981.986499999999</v>
      </c>
    </row>
    <row r="34" spans="1:23" x14ac:dyDescent="0.35">
      <c r="A34" s="63" t="s">
        <v>49</v>
      </c>
      <c r="B34" s="35"/>
      <c r="C34" s="42"/>
      <c r="D34" s="42"/>
      <c r="E34" s="64"/>
    </row>
    <row r="35" spans="1:23" x14ac:dyDescent="0.35">
      <c r="A35" s="35" t="s">
        <v>50</v>
      </c>
      <c r="B35" s="35">
        <f>B$24*B$23</f>
        <v>148.3365</v>
      </c>
      <c r="C35" s="42">
        <v>0.2</v>
      </c>
      <c r="D35" s="42">
        <f>B8</f>
        <v>1.1000000000000001</v>
      </c>
      <c r="E35" s="42">
        <f>B35*C35*D35</f>
        <v>32.634030000000003</v>
      </c>
    </row>
    <row r="36" spans="1:23" x14ac:dyDescent="0.35">
      <c r="A36" s="35" t="s">
        <v>51</v>
      </c>
      <c r="B36" s="35">
        <f t="shared" ref="B36:B37" si="1">B$24*B$23</f>
        <v>148.3365</v>
      </c>
      <c r="C36" s="42">
        <v>0.5</v>
      </c>
      <c r="D36" s="42">
        <f>B6</f>
        <v>0.9</v>
      </c>
      <c r="E36" s="42">
        <f t="shared" ref="E36:E37" si="2">B36*C36*D36</f>
        <v>66.751424999999998</v>
      </c>
    </row>
    <row r="37" spans="1:23" x14ac:dyDescent="0.35">
      <c r="A37" s="35" t="s">
        <v>52</v>
      </c>
      <c r="B37" s="35">
        <f t="shared" si="1"/>
        <v>148.3365</v>
      </c>
      <c r="C37" s="42">
        <v>0.3</v>
      </c>
      <c r="D37" s="42">
        <f>B7</f>
        <v>0.8</v>
      </c>
      <c r="E37" s="42">
        <f t="shared" si="2"/>
        <v>35.600760000000001</v>
      </c>
    </row>
    <row r="38" spans="1:23" ht="15" thickBot="1" x14ac:dyDescent="0.4">
      <c r="A38" s="38" t="s">
        <v>44</v>
      </c>
      <c r="B38" s="40"/>
      <c r="C38" s="46"/>
      <c r="D38" s="46"/>
      <c r="E38" s="44">
        <f>SUM(E35:E37)</f>
        <v>134.98621500000002</v>
      </c>
    </row>
    <row r="39" spans="1:23" x14ac:dyDescent="0.35">
      <c r="A39" s="31"/>
      <c r="B39" s="30"/>
      <c r="C39" s="30"/>
      <c r="D39" s="30"/>
      <c r="E39" s="31"/>
    </row>
    <row r="40" spans="1:23" x14ac:dyDescent="0.35">
      <c r="A40" s="15" t="s">
        <v>33</v>
      </c>
      <c r="B40" s="14"/>
    </row>
    <row r="41" spans="1:23" ht="15" thickBot="1" x14ac:dyDescent="0.4">
      <c r="A41" s="16"/>
    </row>
    <row r="42" spans="1:23" x14ac:dyDescent="0.35">
      <c r="A42" s="49" t="s">
        <v>0</v>
      </c>
      <c r="B42" s="53" t="s">
        <v>1</v>
      </c>
      <c r="C42" s="53">
        <v>0</v>
      </c>
      <c r="D42" s="53">
        <v>1</v>
      </c>
      <c r="E42" s="53">
        <v>2</v>
      </c>
      <c r="F42" s="53">
        <v>3</v>
      </c>
      <c r="G42" s="53">
        <v>4</v>
      </c>
      <c r="H42" s="53">
        <v>5</v>
      </c>
      <c r="I42" s="53">
        <v>6</v>
      </c>
      <c r="J42" s="53">
        <v>7</v>
      </c>
      <c r="K42" s="53">
        <v>8</v>
      </c>
      <c r="L42" s="53">
        <v>9</v>
      </c>
      <c r="M42" s="53">
        <v>10</v>
      </c>
      <c r="N42" s="53">
        <v>11</v>
      </c>
      <c r="O42" s="53">
        <v>12</v>
      </c>
      <c r="P42" s="53">
        <v>13</v>
      </c>
      <c r="Q42" s="53">
        <v>14</v>
      </c>
      <c r="R42" s="53">
        <v>15</v>
      </c>
      <c r="S42" s="53">
        <v>16</v>
      </c>
      <c r="T42" s="53">
        <v>17</v>
      </c>
      <c r="U42" s="53">
        <v>18</v>
      </c>
      <c r="V42" s="53">
        <v>19</v>
      </c>
      <c r="W42" s="54">
        <v>20</v>
      </c>
    </row>
    <row r="43" spans="1:23" x14ac:dyDescent="0.35">
      <c r="A43" s="8" t="s">
        <v>28</v>
      </c>
      <c r="B43" s="2">
        <f>SUM(C43:W43)</f>
        <v>3370.3622545827698</v>
      </c>
      <c r="C43" s="2">
        <v>0</v>
      </c>
      <c r="D43" s="2">
        <f>B13</f>
        <v>180</v>
      </c>
      <c r="E43" s="2">
        <f>D43*(1-$B$16)</f>
        <v>178.74</v>
      </c>
      <c r="F43" s="2">
        <f t="shared" ref="F43:W43" si="3">E43*(1-$B$16)</f>
        <v>177.48882</v>
      </c>
      <c r="G43" s="2">
        <f t="shared" si="3"/>
        <v>176.24639826000001</v>
      </c>
      <c r="H43" s="2">
        <f t="shared" si="3"/>
        <v>175.01267347218001</v>
      </c>
      <c r="I43" s="2">
        <f t="shared" si="3"/>
        <v>173.78758475787475</v>
      </c>
      <c r="J43" s="2">
        <f t="shared" si="3"/>
        <v>172.57107166456964</v>
      </c>
      <c r="K43" s="2">
        <f t="shared" si="3"/>
        <v>171.36307416291766</v>
      </c>
      <c r="L43" s="2">
        <f t="shared" si="3"/>
        <v>170.16353264377724</v>
      </c>
      <c r="M43" s="2">
        <f t="shared" si="3"/>
        <v>168.97238791527082</v>
      </c>
      <c r="N43" s="2">
        <f t="shared" si="3"/>
        <v>167.78958119986393</v>
      </c>
      <c r="O43" s="2">
        <f t="shared" si="3"/>
        <v>166.61505413146489</v>
      </c>
      <c r="P43" s="2">
        <f t="shared" si="3"/>
        <v>165.44874875254465</v>
      </c>
      <c r="Q43" s="2">
        <f t="shared" si="3"/>
        <v>164.29060751127682</v>
      </c>
      <c r="R43" s="2">
        <f t="shared" si="3"/>
        <v>163.14057325869788</v>
      </c>
      <c r="S43" s="2">
        <f t="shared" si="3"/>
        <v>161.99858924588699</v>
      </c>
      <c r="T43" s="2">
        <f t="shared" si="3"/>
        <v>160.86459912116578</v>
      </c>
      <c r="U43" s="2">
        <f t="shared" si="3"/>
        <v>159.73854692731763</v>
      </c>
      <c r="V43" s="2">
        <f t="shared" si="3"/>
        <v>158.6203770988264</v>
      </c>
      <c r="W43" s="55">
        <f t="shared" si="3"/>
        <v>157.5100344591346</v>
      </c>
    </row>
    <row r="44" spans="1:23" x14ac:dyDescent="0.35">
      <c r="A44" s="11" t="s">
        <v>71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55"/>
    </row>
    <row r="45" spans="1:23" x14ac:dyDescent="0.35">
      <c r="A45" s="66" t="s">
        <v>68</v>
      </c>
      <c r="B45" s="2">
        <f>SUM(C45:W45)</f>
        <v>40107.310829534945</v>
      </c>
      <c r="C45" s="2">
        <v>0</v>
      </c>
      <c r="D45" s="2">
        <f>$B$13*((1-$B$16)^(D42-1))*$B$14*$B$15</f>
        <v>2142</v>
      </c>
      <c r="E45" s="2">
        <f t="shared" ref="E45:W45" si="4">$B$13*((1-$B$16)^(E42-1))*$B$14*$B$15</f>
        <v>2127.0059999999999</v>
      </c>
      <c r="F45" s="2">
        <f t="shared" si="4"/>
        <v>2112.1169580000001</v>
      </c>
      <c r="G45" s="2">
        <f t="shared" si="4"/>
        <v>2097.3321392939997</v>
      </c>
      <c r="H45" s="2">
        <f t="shared" si="4"/>
        <v>2082.6508143189417</v>
      </c>
      <c r="I45" s="2">
        <f t="shared" si="4"/>
        <v>2068.0722586187094</v>
      </c>
      <c r="J45" s="2">
        <f t="shared" si="4"/>
        <v>2053.5957528083782</v>
      </c>
      <c r="K45" s="2">
        <f t="shared" si="4"/>
        <v>2039.2205825387193</v>
      </c>
      <c r="L45" s="2">
        <f t="shared" si="4"/>
        <v>2024.9460384609481</v>
      </c>
      <c r="M45" s="2">
        <f t="shared" si="4"/>
        <v>2010.7714161917215</v>
      </c>
      <c r="N45" s="2">
        <f t="shared" si="4"/>
        <v>1996.6960162783798</v>
      </c>
      <c r="O45" s="2">
        <f t="shared" si="4"/>
        <v>1982.7191441644309</v>
      </c>
      <c r="P45" s="2">
        <f t="shared" si="4"/>
        <v>1968.8401101552795</v>
      </c>
      <c r="Q45" s="2">
        <f t="shared" si="4"/>
        <v>1955.0582293841926</v>
      </c>
      <c r="R45" s="2">
        <f t="shared" si="4"/>
        <v>1941.3728217785033</v>
      </c>
      <c r="S45" s="2">
        <f t="shared" si="4"/>
        <v>1927.7832120260539</v>
      </c>
      <c r="T45" s="2">
        <f t="shared" si="4"/>
        <v>1914.2887295418714</v>
      </c>
      <c r="U45" s="2">
        <f t="shared" si="4"/>
        <v>1900.8887084350779</v>
      </c>
      <c r="V45" s="2">
        <f t="shared" si="4"/>
        <v>1887.5824874760326</v>
      </c>
      <c r="W45" s="2">
        <f t="shared" si="4"/>
        <v>1874.3694100636999</v>
      </c>
    </row>
    <row r="46" spans="1:23" x14ac:dyDescent="0.35">
      <c r="A46" s="8" t="s">
        <v>38</v>
      </c>
      <c r="B46" s="2">
        <f>SUM(C46:W46)</f>
        <v>64036.882837072626</v>
      </c>
      <c r="C46" s="2">
        <f>C43*$B$12</f>
        <v>0</v>
      </c>
      <c r="D46" s="2">
        <f>D43*$B$12</f>
        <v>3420</v>
      </c>
      <c r="E46" s="2">
        <f t="shared" ref="E46:W46" si="5">E43*$B$12</f>
        <v>3396.0600000000004</v>
      </c>
      <c r="F46" s="2">
        <f t="shared" si="5"/>
        <v>3372.2875800000002</v>
      </c>
      <c r="G46" s="2">
        <f t="shared" si="5"/>
        <v>3348.6815669400003</v>
      </c>
      <c r="H46" s="2">
        <f t="shared" si="5"/>
        <v>3325.2407959714201</v>
      </c>
      <c r="I46" s="2">
        <f t="shared" si="5"/>
        <v>3301.9641103996205</v>
      </c>
      <c r="J46" s="2">
        <f t="shared" si="5"/>
        <v>3278.8503616268231</v>
      </c>
      <c r="K46" s="2">
        <f t="shared" si="5"/>
        <v>3255.8984090954355</v>
      </c>
      <c r="L46" s="2">
        <f t="shared" si="5"/>
        <v>3233.1071202317676</v>
      </c>
      <c r="M46" s="2">
        <f t="shared" si="5"/>
        <v>3210.4753703901456</v>
      </c>
      <c r="N46" s="2">
        <f t="shared" si="5"/>
        <v>3188.0020427974146</v>
      </c>
      <c r="O46" s="2">
        <f t="shared" si="5"/>
        <v>3165.6860284978329</v>
      </c>
      <c r="P46" s="2">
        <f t="shared" si="5"/>
        <v>3143.5262262983483</v>
      </c>
      <c r="Q46" s="2">
        <f t="shared" si="5"/>
        <v>3121.5215427142593</v>
      </c>
      <c r="R46" s="2">
        <f t="shared" si="5"/>
        <v>3099.6708919152597</v>
      </c>
      <c r="S46" s="2">
        <f t="shared" si="5"/>
        <v>3077.9731956718529</v>
      </c>
      <c r="T46" s="2">
        <f t="shared" si="5"/>
        <v>3056.4273833021498</v>
      </c>
      <c r="U46" s="2">
        <f t="shared" si="5"/>
        <v>3035.032391619035</v>
      </c>
      <c r="V46" s="2">
        <f t="shared" si="5"/>
        <v>3013.7871648777013</v>
      </c>
      <c r="W46" s="55">
        <f t="shared" si="5"/>
        <v>2992.6906547235576</v>
      </c>
    </row>
    <row r="47" spans="1:23" x14ac:dyDescent="0.35">
      <c r="A47" s="8" t="s">
        <v>39</v>
      </c>
      <c r="B47" s="2">
        <f t="shared" ref="B47:B48" si="6">SUM(C47:W47)</f>
        <v>29516.399999999998</v>
      </c>
      <c r="C47" s="2">
        <f t="shared" ref="C47:W47" si="7">IF(C42=0,0,$B$11)</f>
        <v>0</v>
      </c>
      <c r="D47" s="2">
        <f t="shared" si="7"/>
        <v>1475.82</v>
      </c>
      <c r="E47" s="2">
        <f t="shared" si="7"/>
        <v>1475.82</v>
      </c>
      <c r="F47" s="2">
        <f t="shared" si="7"/>
        <v>1475.82</v>
      </c>
      <c r="G47" s="2">
        <f t="shared" si="7"/>
        <v>1475.82</v>
      </c>
      <c r="H47" s="2">
        <f t="shared" si="7"/>
        <v>1475.82</v>
      </c>
      <c r="I47" s="2">
        <f t="shared" si="7"/>
        <v>1475.82</v>
      </c>
      <c r="J47" s="2">
        <f t="shared" si="7"/>
        <v>1475.82</v>
      </c>
      <c r="K47" s="2">
        <f t="shared" si="7"/>
        <v>1475.82</v>
      </c>
      <c r="L47" s="2">
        <f t="shared" si="7"/>
        <v>1475.82</v>
      </c>
      <c r="M47" s="2">
        <f t="shared" si="7"/>
        <v>1475.82</v>
      </c>
      <c r="N47" s="2">
        <f t="shared" si="7"/>
        <v>1475.82</v>
      </c>
      <c r="O47" s="2">
        <f t="shared" si="7"/>
        <v>1475.82</v>
      </c>
      <c r="P47" s="2">
        <f t="shared" si="7"/>
        <v>1475.82</v>
      </c>
      <c r="Q47" s="2">
        <f t="shared" si="7"/>
        <v>1475.82</v>
      </c>
      <c r="R47" s="2">
        <f t="shared" si="7"/>
        <v>1475.82</v>
      </c>
      <c r="S47" s="2">
        <f t="shared" si="7"/>
        <v>1475.82</v>
      </c>
      <c r="T47" s="2">
        <f t="shared" si="7"/>
        <v>1475.82</v>
      </c>
      <c r="U47" s="2">
        <f t="shared" si="7"/>
        <v>1475.82</v>
      </c>
      <c r="V47" s="2">
        <f t="shared" si="7"/>
        <v>1475.82</v>
      </c>
      <c r="W47" s="55">
        <f t="shared" si="7"/>
        <v>1475.82</v>
      </c>
    </row>
    <row r="48" spans="1:23" x14ac:dyDescent="0.35">
      <c r="A48" s="8" t="s">
        <v>40</v>
      </c>
      <c r="B48" s="2">
        <f t="shared" si="6"/>
        <v>3000</v>
      </c>
      <c r="C48" s="2">
        <f>IF(C42=0,$B$18*$B$19,$B$17*$B$19)</f>
        <v>1000</v>
      </c>
      <c r="D48" s="2">
        <f t="shared" ref="D48:W48" si="8">IF(D42=0,0,$B$17*$B$19)</f>
        <v>100</v>
      </c>
      <c r="E48" s="2">
        <f t="shared" si="8"/>
        <v>100</v>
      </c>
      <c r="F48" s="2">
        <f t="shared" si="8"/>
        <v>100</v>
      </c>
      <c r="G48" s="2">
        <f t="shared" si="8"/>
        <v>100</v>
      </c>
      <c r="H48" s="2">
        <f t="shared" si="8"/>
        <v>100</v>
      </c>
      <c r="I48" s="2">
        <f t="shared" si="8"/>
        <v>100</v>
      </c>
      <c r="J48" s="2">
        <f t="shared" si="8"/>
        <v>100</v>
      </c>
      <c r="K48" s="2">
        <f t="shared" si="8"/>
        <v>100</v>
      </c>
      <c r="L48" s="2">
        <f t="shared" si="8"/>
        <v>100</v>
      </c>
      <c r="M48" s="2">
        <f t="shared" si="8"/>
        <v>100</v>
      </c>
      <c r="N48" s="2">
        <f t="shared" si="8"/>
        <v>100</v>
      </c>
      <c r="O48" s="2">
        <f t="shared" si="8"/>
        <v>100</v>
      </c>
      <c r="P48" s="2">
        <f t="shared" si="8"/>
        <v>100</v>
      </c>
      <c r="Q48" s="2">
        <f t="shared" si="8"/>
        <v>100</v>
      </c>
      <c r="R48" s="2">
        <f t="shared" si="8"/>
        <v>100</v>
      </c>
      <c r="S48" s="2">
        <f t="shared" si="8"/>
        <v>100</v>
      </c>
      <c r="T48" s="2">
        <f t="shared" si="8"/>
        <v>100</v>
      </c>
      <c r="U48" s="2">
        <f t="shared" si="8"/>
        <v>100</v>
      </c>
      <c r="V48" s="2">
        <f t="shared" si="8"/>
        <v>100</v>
      </c>
      <c r="W48" s="55">
        <f t="shared" si="8"/>
        <v>100</v>
      </c>
    </row>
    <row r="49" spans="1:23" x14ac:dyDescent="0.35">
      <c r="A49" s="56" t="s">
        <v>29</v>
      </c>
      <c r="B49" s="47">
        <f>SUM(C49:W49)</f>
        <v>96553.282837072635</v>
      </c>
      <c r="C49" s="47">
        <f t="shared" ref="C49:W49" si="9">SUM(C46:C48)</f>
        <v>1000</v>
      </c>
      <c r="D49" s="47">
        <f t="shared" si="9"/>
        <v>4995.82</v>
      </c>
      <c r="E49" s="47">
        <f t="shared" si="9"/>
        <v>4971.88</v>
      </c>
      <c r="F49" s="47">
        <f t="shared" si="9"/>
        <v>4948.1075799999999</v>
      </c>
      <c r="G49" s="47">
        <f t="shared" si="9"/>
        <v>4924.50156694</v>
      </c>
      <c r="H49" s="47">
        <f t="shared" si="9"/>
        <v>4901.0607959714198</v>
      </c>
      <c r="I49" s="47">
        <f t="shared" si="9"/>
        <v>4877.7841103996207</v>
      </c>
      <c r="J49" s="47">
        <f t="shared" si="9"/>
        <v>4854.6703616268233</v>
      </c>
      <c r="K49" s="47">
        <f t="shared" si="9"/>
        <v>4831.7184090954352</v>
      </c>
      <c r="L49" s="47">
        <f t="shared" si="9"/>
        <v>4808.9271202317677</v>
      </c>
      <c r="M49" s="47">
        <f t="shared" si="9"/>
        <v>4786.2953703901458</v>
      </c>
      <c r="N49" s="47">
        <f t="shared" si="9"/>
        <v>4763.8220427974147</v>
      </c>
      <c r="O49" s="47">
        <f t="shared" si="9"/>
        <v>4741.5060284978326</v>
      </c>
      <c r="P49" s="47">
        <f t="shared" si="9"/>
        <v>4719.3462262983485</v>
      </c>
      <c r="Q49" s="47">
        <f t="shared" si="9"/>
        <v>4697.341542714259</v>
      </c>
      <c r="R49" s="47">
        <f t="shared" si="9"/>
        <v>4675.4908919152595</v>
      </c>
      <c r="S49" s="47">
        <f t="shared" si="9"/>
        <v>4653.793195671853</v>
      </c>
      <c r="T49" s="47">
        <f t="shared" si="9"/>
        <v>4632.2473833021495</v>
      </c>
      <c r="U49" s="47">
        <f t="shared" si="9"/>
        <v>4610.8523916190352</v>
      </c>
      <c r="V49" s="47">
        <f t="shared" si="9"/>
        <v>4589.6071648777015</v>
      </c>
      <c r="W49" s="57">
        <f t="shared" si="9"/>
        <v>4568.5106547235573</v>
      </c>
    </row>
    <row r="50" spans="1:23" x14ac:dyDescent="0.35">
      <c r="A50" s="11" t="s">
        <v>72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55"/>
    </row>
    <row r="51" spans="1:23" x14ac:dyDescent="0.35">
      <c r="A51" s="8" t="s">
        <v>42</v>
      </c>
      <c r="B51" s="2">
        <f>SUM(C51:W51)</f>
        <v>14981.986499999999</v>
      </c>
      <c r="C51" s="2">
        <f t="shared" ref="C51:W51" si="10">IF(C42=0,$E$33,0)</f>
        <v>14981.986499999999</v>
      </c>
      <c r="D51" s="2">
        <f t="shared" si="10"/>
        <v>0</v>
      </c>
      <c r="E51" s="2">
        <f t="shared" si="10"/>
        <v>0</v>
      </c>
      <c r="F51" s="2">
        <f t="shared" si="10"/>
        <v>0</v>
      </c>
      <c r="G51" s="2">
        <f t="shared" si="10"/>
        <v>0</v>
      </c>
      <c r="H51" s="2">
        <f t="shared" si="10"/>
        <v>0</v>
      </c>
      <c r="I51" s="2">
        <f t="shared" si="10"/>
        <v>0</v>
      </c>
      <c r="J51" s="2">
        <f t="shared" si="10"/>
        <v>0</v>
      </c>
      <c r="K51" s="2">
        <f t="shared" si="10"/>
        <v>0</v>
      </c>
      <c r="L51" s="2">
        <f t="shared" si="10"/>
        <v>0</v>
      </c>
      <c r="M51" s="2">
        <f t="shared" si="10"/>
        <v>0</v>
      </c>
      <c r="N51" s="2">
        <f t="shared" si="10"/>
        <v>0</v>
      </c>
      <c r="O51" s="2">
        <f t="shared" si="10"/>
        <v>0</v>
      </c>
      <c r="P51" s="2">
        <f t="shared" si="10"/>
        <v>0</v>
      </c>
      <c r="Q51" s="2">
        <f t="shared" si="10"/>
        <v>0</v>
      </c>
      <c r="R51" s="2">
        <f t="shared" si="10"/>
        <v>0</v>
      </c>
      <c r="S51" s="2">
        <f t="shared" si="10"/>
        <v>0</v>
      </c>
      <c r="T51" s="2">
        <f t="shared" si="10"/>
        <v>0</v>
      </c>
      <c r="U51" s="2">
        <f t="shared" si="10"/>
        <v>0</v>
      </c>
      <c r="V51" s="2">
        <f t="shared" si="10"/>
        <v>0</v>
      </c>
      <c r="W51" s="55">
        <f t="shared" si="10"/>
        <v>0</v>
      </c>
    </row>
    <row r="52" spans="1:23" x14ac:dyDescent="0.35">
      <c r="A52" s="8" t="s">
        <v>43</v>
      </c>
      <c r="B52" s="2">
        <f>SUM(C52:W52)</f>
        <v>4463.4479897126294</v>
      </c>
      <c r="C52" s="2">
        <v>0</v>
      </c>
      <c r="D52" s="2">
        <f>$E$38</f>
        <v>134.98621500000002</v>
      </c>
      <c r="E52" s="2">
        <f>D52*(1+$B$22)</f>
        <v>141.73552575000002</v>
      </c>
      <c r="F52" s="2">
        <f t="shared" ref="F52:W52" si="11">E52*(1+$B$22)</f>
        <v>148.82230203750004</v>
      </c>
      <c r="G52" s="2">
        <f t="shared" si="11"/>
        <v>156.26341713937504</v>
      </c>
      <c r="H52" s="2">
        <f t="shared" si="11"/>
        <v>164.07658799634379</v>
      </c>
      <c r="I52" s="2">
        <f t="shared" si="11"/>
        <v>172.280417396161</v>
      </c>
      <c r="J52" s="2">
        <f t="shared" si="11"/>
        <v>180.89443826596906</v>
      </c>
      <c r="K52" s="2">
        <f t="shared" si="11"/>
        <v>189.93916017926753</v>
      </c>
      <c r="L52" s="2">
        <f t="shared" si="11"/>
        <v>199.43611818823092</v>
      </c>
      <c r="M52" s="2">
        <f t="shared" si="11"/>
        <v>209.40792409764248</v>
      </c>
      <c r="N52" s="2">
        <f t="shared" si="11"/>
        <v>219.8783203025246</v>
      </c>
      <c r="O52" s="2">
        <f t="shared" si="11"/>
        <v>230.87223631765085</v>
      </c>
      <c r="P52" s="2">
        <f t="shared" si="11"/>
        <v>242.41584813353339</v>
      </c>
      <c r="Q52" s="2">
        <f t="shared" si="11"/>
        <v>254.53664054021007</v>
      </c>
      <c r="R52" s="2">
        <f t="shared" si="11"/>
        <v>267.26347256722056</v>
      </c>
      <c r="S52" s="2">
        <f t="shared" si="11"/>
        <v>280.6266461955816</v>
      </c>
      <c r="T52" s="2">
        <f t="shared" si="11"/>
        <v>294.65797850536069</v>
      </c>
      <c r="U52" s="2">
        <f t="shared" si="11"/>
        <v>309.39087743062873</v>
      </c>
      <c r="V52" s="2">
        <f t="shared" si="11"/>
        <v>324.8604213021602</v>
      </c>
      <c r="W52" s="55">
        <f t="shared" si="11"/>
        <v>341.10344236726826</v>
      </c>
    </row>
    <row r="53" spans="1:23" x14ac:dyDescent="0.35">
      <c r="A53" s="8" t="s">
        <v>30</v>
      </c>
      <c r="B53" s="2">
        <f>SUM(C53:W53)</f>
        <v>30</v>
      </c>
      <c r="C53" s="2">
        <f t="shared" ref="C53:W53" si="12">IF(C42=0,$B$21,0)</f>
        <v>30</v>
      </c>
      <c r="D53" s="2">
        <f t="shared" si="12"/>
        <v>0</v>
      </c>
      <c r="E53" s="2">
        <f t="shared" si="12"/>
        <v>0</v>
      </c>
      <c r="F53" s="2">
        <f t="shared" si="12"/>
        <v>0</v>
      </c>
      <c r="G53" s="2">
        <f t="shared" si="12"/>
        <v>0</v>
      </c>
      <c r="H53" s="2">
        <f t="shared" si="12"/>
        <v>0</v>
      </c>
      <c r="I53" s="2">
        <f t="shared" si="12"/>
        <v>0</v>
      </c>
      <c r="J53" s="2">
        <f t="shared" si="12"/>
        <v>0</v>
      </c>
      <c r="K53" s="2">
        <f t="shared" si="12"/>
        <v>0</v>
      </c>
      <c r="L53" s="2">
        <f t="shared" si="12"/>
        <v>0</v>
      </c>
      <c r="M53" s="2">
        <f t="shared" si="12"/>
        <v>0</v>
      </c>
      <c r="N53" s="2">
        <f t="shared" si="12"/>
        <v>0</v>
      </c>
      <c r="O53" s="2">
        <f t="shared" si="12"/>
        <v>0</v>
      </c>
      <c r="P53" s="2">
        <f t="shared" si="12"/>
        <v>0</v>
      </c>
      <c r="Q53" s="2">
        <f t="shared" si="12"/>
        <v>0</v>
      </c>
      <c r="R53" s="2">
        <f t="shared" si="12"/>
        <v>0</v>
      </c>
      <c r="S53" s="2">
        <f t="shared" si="12"/>
        <v>0</v>
      </c>
      <c r="T53" s="2">
        <f t="shared" si="12"/>
        <v>0</v>
      </c>
      <c r="U53" s="2">
        <f t="shared" si="12"/>
        <v>0</v>
      </c>
      <c r="V53" s="2">
        <f t="shared" si="12"/>
        <v>0</v>
      </c>
      <c r="W53" s="55">
        <f t="shared" si="12"/>
        <v>0</v>
      </c>
    </row>
    <row r="54" spans="1:23" x14ac:dyDescent="0.35">
      <c r="A54" s="8" t="s">
        <v>41</v>
      </c>
      <c r="B54" s="2">
        <f>SUM(C54:W54)</f>
        <v>300</v>
      </c>
      <c r="C54" s="2">
        <f t="shared" ref="C54:W54" si="13">IF(C42=0,0,$B$20)</f>
        <v>0</v>
      </c>
      <c r="D54" s="2">
        <f t="shared" si="13"/>
        <v>15</v>
      </c>
      <c r="E54" s="2">
        <f t="shared" si="13"/>
        <v>15</v>
      </c>
      <c r="F54" s="2">
        <f t="shared" si="13"/>
        <v>15</v>
      </c>
      <c r="G54" s="2">
        <f t="shared" si="13"/>
        <v>15</v>
      </c>
      <c r="H54" s="2">
        <f t="shared" si="13"/>
        <v>15</v>
      </c>
      <c r="I54" s="2">
        <f t="shared" si="13"/>
        <v>15</v>
      </c>
      <c r="J54" s="2">
        <f t="shared" si="13"/>
        <v>15</v>
      </c>
      <c r="K54" s="2">
        <f t="shared" si="13"/>
        <v>15</v>
      </c>
      <c r="L54" s="2">
        <f t="shared" si="13"/>
        <v>15</v>
      </c>
      <c r="M54" s="2">
        <f t="shared" si="13"/>
        <v>15</v>
      </c>
      <c r="N54" s="2">
        <f t="shared" si="13"/>
        <v>15</v>
      </c>
      <c r="O54" s="2">
        <f t="shared" si="13"/>
        <v>15</v>
      </c>
      <c r="P54" s="2">
        <f t="shared" si="13"/>
        <v>15</v>
      </c>
      <c r="Q54" s="2">
        <f t="shared" si="13"/>
        <v>15</v>
      </c>
      <c r="R54" s="2">
        <f t="shared" si="13"/>
        <v>15</v>
      </c>
      <c r="S54" s="2">
        <f t="shared" si="13"/>
        <v>15</v>
      </c>
      <c r="T54" s="2">
        <f t="shared" si="13"/>
        <v>15</v>
      </c>
      <c r="U54" s="2">
        <f t="shared" si="13"/>
        <v>15</v>
      </c>
      <c r="V54" s="2">
        <f t="shared" si="13"/>
        <v>15</v>
      </c>
      <c r="W54" s="2">
        <f t="shared" si="13"/>
        <v>15</v>
      </c>
    </row>
    <row r="55" spans="1:23" x14ac:dyDescent="0.35">
      <c r="A55" s="56" t="s">
        <v>31</v>
      </c>
      <c r="B55" s="47">
        <f>SUM(C55:W55)</f>
        <v>19475.434489712628</v>
      </c>
      <c r="C55" s="48">
        <f>SUM(C51:C53)</f>
        <v>15011.986499999999</v>
      </c>
      <c r="D55" s="48">
        <f t="shared" ref="D55:W55" si="14">SUM(D51:D53)</f>
        <v>134.98621500000002</v>
      </c>
      <c r="E55" s="48">
        <f t="shared" si="14"/>
        <v>141.73552575000002</v>
      </c>
      <c r="F55" s="48">
        <f t="shared" si="14"/>
        <v>148.82230203750004</v>
      </c>
      <c r="G55" s="48">
        <f t="shared" si="14"/>
        <v>156.26341713937504</v>
      </c>
      <c r="H55" s="48">
        <f t="shared" si="14"/>
        <v>164.07658799634379</v>
      </c>
      <c r="I55" s="48">
        <f t="shared" si="14"/>
        <v>172.280417396161</v>
      </c>
      <c r="J55" s="48">
        <f t="shared" si="14"/>
        <v>180.89443826596906</v>
      </c>
      <c r="K55" s="48">
        <f t="shared" si="14"/>
        <v>189.93916017926753</v>
      </c>
      <c r="L55" s="48">
        <f t="shared" si="14"/>
        <v>199.43611818823092</v>
      </c>
      <c r="M55" s="48">
        <f t="shared" si="14"/>
        <v>209.40792409764248</v>
      </c>
      <c r="N55" s="48">
        <f t="shared" si="14"/>
        <v>219.8783203025246</v>
      </c>
      <c r="O55" s="48">
        <f t="shared" si="14"/>
        <v>230.87223631765085</v>
      </c>
      <c r="P55" s="48">
        <f t="shared" si="14"/>
        <v>242.41584813353339</v>
      </c>
      <c r="Q55" s="48">
        <f t="shared" si="14"/>
        <v>254.53664054021007</v>
      </c>
      <c r="R55" s="48">
        <f t="shared" si="14"/>
        <v>267.26347256722056</v>
      </c>
      <c r="S55" s="48">
        <f t="shared" si="14"/>
        <v>280.6266461955816</v>
      </c>
      <c r="T55" s="48">
        <f t="shared" si="14"/>
        <v>294.65797850536069</v>
      </c>
      <c r="U55" s="48">
        <f t="shared" si="14"/>
        <v>309.39087743062873</v>
      </c>
      <c r="V55" s="48">
        <f t="shared" si="14"/>
        <v>324.8604213021602</v>
      </c>
      <c r="W55" s="58">
        <f t="shared" si="14"/>
        <v>341.10344236726826</v>
      </c>
    </row>
    <row r="56" spans="1:23" ht="1" customHeight="1" x14ac:dyDescent="0.35">
      <c r="A56" s="50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9"/>
    </row>
    <row r="57" spans="1:23" ht="15" thickBot="1" x14ac:dyDescent="0.4">
      <c r="A57" s="51" t="s">
        <v>32</v>
      </c>
      <c r="B57" s="12">
        <f>SUM(C57:W57)</f>
        <v>77077.848347359992</v>
      </c>
      <c r="C57" s="32">
        <f>C49-C55</f>
        <v>-14011.986499999999</v>
      </c>
      <c r="D57" s="32">
        <f t="shared" ref="D57:W57" si="15">D49-D55</f>
        <v>4860.8337849999998</v>
      </c>
      <c r="E57" s="32">
        <f t="shared" si="15"/>
        <v>4830.1444742499998</v>
      </c>
      <c r="F57" s="32">
        <f t="shared" si="15"/>
        <v>4799.2852779625</v>
      </c>
      <c r="G57" s="32">
        <f t="shared" si="15"/>
        <v>4768.2381498006253</v>
      </c>
      <c r="H57" s="32">
        <f t="shared" si="15"/>
        <v>4736.9842079750761</v>
      </c>
      <c r="I57" s="32">
        <f t="shared" si="15"/>
        <v>4705.5036930034594</v>
      </c>
      <c r="J57" s="32">
        <f t="shared" si="15"/>
        <v>4673.775923360854</v>
      </c>
      <c r="K57" s="32">
        <f t="shared" si="15"/>
        <v>4641.7792489161675</v>
      </c>
      <c r="L57" s="32">
        <f t="shared" si="15"/>
        <v>4609.4910020435364</v>
      </c>
      <c r="M57" s="32">
        <f t="shared" si="15"/>
        <v>4576.8874462925032</v>
      </c>
      <c r="N57" s="32">
        <f t="shared" si="15"/>
        <v>4543.9437224948897</v>
      </c>
      <c r="O57" s="32">
        <f t="shared" si="15"/>
        <v>4510.6337921801814</v>
      </c>
      <c r="P57" s="32">
        <f t="shared" si="15"/>
        <v>4476.930378164815</v>
      </c>
      <c r="Q57" s="32">
        <f t="shared" si="15"/>
        <v>4442.8049021740489</v>
      </c>
      <c r="R57" s="32">
        <f t="shared" si="15"/>
        <v>4408.2274193480389</v>
      </c>
      <c r="S57" s="32">
        <f t="shared" si="15"/>
        <v>4373.166549476271</v>
      </c>
      <c r="T57" s="32">
        <f t="shared" si="15"/>
        <v>4337.5894047967886</v>
      </c>
      <c r="U57" s="32">
        <f t="shared" si="15"/>
        <v>4301.461514188406</v>
      </c>
      <c r="V57" s="32">
        <f t="shared" si="15"/>
        <v>4264.7467435755416</v>
      </c>
      <c r="W57" s="67">
        <f t="shared" si="15"/>
        <v>4227.4072123562892</v>
      </c>
    </row>
    <row r="59" spans="1:23" x14ac:dyDescent="0.35">
      <c r="A59" s="14" t="s">
        <v>35</v>
      </c>
      <c r="B59" s="14"/>
    </row>
    <row r="60" spans="1:23" ht="15" thickBot="1" x14ac:dyDescent="0.4"/>
    <row r="61" spans="1:23" x14ac:dyDescent="0.35">
      <c r="A61" s="75" t="s">
        <v>53</v>
      </c>
      <c r="B61" s="76"/>
      <c r="C61" s="18">
        <f t="shared" ref="C61:W61" si="16">C49/(1+$B$5)^C42</f>
        <v>1000</v>
      </c>
      <c r="D61" s="18">
        <f t="shared" si="16"/>
        <v>4583.3211009174302</v>
      </c>
      <c r="E61" s="18">
        <f t="shared" si="16"/>
        <v>4184.7319249221446</v>
      </c>
      <c r="F61" s="18">
        <f t="shared" si="16"/>
        <v>3820.8469308409303</v>
      </c>
      <c r="G61" s="18">
        <f t="shared" si="16"/>
        <v>3488.6410619503599</v>
      </c>
      <c r="H61" s="18">
        <f t="shared" si="16"/>
        <v>3185.3532374581764</v>
      </c>
      <c r="I61" s="18">
        <f t="shared" si="16"/>
        <v>2908.4632926018953</v>
      </c>
      <c r="J61" s="18">
        <f t="shared" si="16"/>
        <v>2655.6709352357634</v>
      </c>
      <c r="K61" s="18">
        <f t="shared" si="16"/>
        <v>2424.8765423991517</v>
      </c>
      <c r="L61" s="18">
        <f t="shared" si="16"/>
        <v>2214.1636358240326</v>
      </c>
      <c r="M61" s="18">
        <f t="shared" si="16"/>
        <v>2021.7828894476017</v>
      </c>
      <c r="N61" s="18">
        <f t="shared" si="16"/>
        <v>1846.1375348674542</v>
      </c>
      <c r="O61" s="18">
        <f t="shared" si="16"/>
        <v>1685.7700424194454</v>
      </c>
      <c r="P61" s="18">
        <f t="shared" si="16"/>
        <v>1539.3499662716508</v>
      </c>
      <c r="Q61" s="18">
        <f t="shared" si="16"/>
        <v>1405.6628517019076</v>
      </c>
      <c r="R61" s="18">
        <f t="shared" si="16"/>
        <v>1283.6001116437374</v>
      </c>
      <c r="S61" s="18">
        <f t="shared" si="16"/>
        <v>1172.1497877211609</v>
      </c>
      <c r="T61" s="18">
        <f t="shared" si="16"/>
        <v>1070.3881184156107</v>
      </c>
      <c r="U61" s="18">
        <f t="shared" si="16"/>
        <v>977.47184378032796</v>
      </c>
      <c r="V61" s="18">
        <f t="shared" si="16"/>
        <v>892.63118229641384</v>
      </c>
      <c r="W61" s="18">
        <f t="shared" si="16"/>
        <v>815.16342110209166</v>
      </c>
    </row>
    <row r="62" spans="1:23" x14ac:dyDescent="0.35">
      <c r="A62" s="77" t="s">
        <v>54</v>
      </c>
      <c r="B62" s="78"/>
      <c r="C62" s="3">
        <f t="shared" ref="C62:W62" si="17">C55/(1+$B$5)^C42</f>
        <v>15011.986499999999</v>
      </c>
      <c r="D62" s="3">
        <f t="shared" si="17"/>
        <v>123.8405642201835</v>
      </c>
      <c r="E62" s="3">
        <f t="shared" si="17"/>
        <v>119.29595635889235</v>
      </c>
      <c r="F62" s="3">
        <f t="shared" si="17"/>
        <v>114.91812309801557</v>
      </c>
      <c r="G62" s="3">
        <f t="shared" si="17"/>
        <v>110.70094426873059</v>
      </c>
      <c r="H62" s="3">
        <f t="shared" si="17"/>
        <v>106.63852429556616</v>
      </c>
      <c r="I62" s="3">
        <f t="shared" si="17"/>
        <v>102.72518395444447</v>
      </c>
      <c r="J62" s="3">
        <f t="shared" si="17"/>
        <v>98.955452433180454</v>
      </c>
      <c r="K62" s="3">
        <f t="shared" si="17"/>
        <v>95.324059683338973</v>
      </c>
      <c r="L62" s="3">
        <f t="shared" si="17"/>
        <v>91.825929052757729</v>
      </c>
      <c r="M62" s="3">
        <f t="shared" si="17"/>
        <v>88.456170188436346</v>
      </c>
      <c r="N62" s="3">
        <f t="shared" si="17"/>
        <v>85.21007219986987</v>
      </c>
      <c r="O62" s="3">
        <f t="shared" si="17"/>
        <v>82.083097073269144</v>
      </c>
      <c r="P62" s="3">
        <f t="shared" si="17"/>
        <v>79.070873327461086</v>
      </c>
      <c r="Q62" s="3">
        <f t="shared" si="17"/>
        <v>76.169189902600138</v>
      </c>
      <c r="R62" s="3">
        <f t="shared" si="17"/>
        <v>73.373990273146916</v>
      </c>
      <c r="S62" s="3">
        <f t="shared" si="17"/>
        <v>70.681366776884644</v>
      </c>
      <c r="T62" s="3">
        <f t="shared" si="17"/>
        <v>68.087555152044843</v>
      </c>
      <c r="U62" s="3">
        <f t="shared" si="17"/>
        <v>65.588929274905567</v>
      </c>
      <c r="V62" s="3">
        <f t="shared" si="17"/>
        <v>63.181996090505372</v>
      </c>
      <c r="W62" s="3">
        <f t="shared" si="17"/>
        <v>60.86339072938592</v>
      </c>
    </row>
    <row r="63" spans="1:23" ht="15" thickBot="1" x14ac:dyDescent="0.4">
      <c r="A63" s="72" t="s">
        <v>55</v>
      </c>
      <c r="B63" s="73"/>
      <c r="C63" s="19">
        <f t="shared" ref="C63:W63" si="18">C57/(1+$B$5)^C42</f>
        <v>-14011.986499999999</v>
      </c>
      <c r="D63" s="19">
        <f t="shared" si="18"/>
        <v>4459.4805366972469</v>
      </c>
      <c r="E63" s="19">
        <f t="shared" si="18"/>
        <v>4065.4359685632517</v>
      </c>
      <c r="F63" s="19">
        <f t="shared" si="18"/>
        <v>3705.9288077429146</v>
      </c>
      <c r="G63" s="19">
        <f t="shared" si="18"/>
        <v>3377.9401176816295</v>
      </c>
      <c r="H63" s="19">
        <f t="shared" si="18"/>
        <v>3078.7147131626102</v>
      </c>
      <c r="I63" s="19">
        <f t="shared" si="18"/>
        <v>2805.7381086474511</v>
      </c>
      <c r="J63" s="19">
        <f t="shared" si="18"/>
        <v>2556.7154828025828</v>
      </c>
      <c r="K63" s="19">
        <f t="shared" si="18"/>
        <v>2329.5524827158129</v>
      </c>
      <c r="L63" s="19">
        <f t="shared" si="18"/>
        <v>2122.3377067712745</v>
      </c>
      <c r="M63" s="19">
        <f t="shared" si="18"/>
        <v>1933.3267192591654</v>
      </c>
      <c r="N63" s="19">
        <f t="shared" si="18"/>
        <v>1760.9274626675842</v>
      </c>
      <c r="O63" s="19">
        <f t="shared" si="18"/>
        <v>1603.6869453461761</v>
      </c>
      <c r="P63" s="19">
        <f t="shared" si="18"/>
        <v>1460.2790929441896</v>
      </c>
      <c r="Q63" s="19">
        <f t="shared" si="18"/>
        <v>1329.4936617993076</v>
      </c>
      <c r="R63" s="19">
        <f t="shared" si="18"/>
        <v>1210.2261213705904</v>
      </c>
      <c r="S63" s="19">
        <f t="shared" si="18"/>
        <v>1101.4684209442762</v>
      </c>
      <c r="T63" s="19">
        <f t="shared" si="18"/>
        <v>1002.3005632635659</v>
      </c>
      <c r="U63" s="19">
        <f t="shared" si="18"/>
        <v>911.88291450542226</v>
      </c>
      <c r="V63" s="19">
        <f t="shared" si="18"/>
        <v>829.44918620590852</v>
      </c>
      <c r="W63" s="19">
        <f t="shared" si="18"/>
        <v>754.30003037270581</v>
      </c>
    </row>
    <row r="64" spans="1:23" ht="15" thickBot="1" x14ac:dyDescent="0.4">
      <c r="A64" s="79" t="s">
        <v>56</v>
      </c>
      <c r="B64" s="79"/>
      <c r="C64" s="17">
        <f>C63</f>
        <v>-14011.986499999999</v>
      </c>
      <c r="D64" s="17">
        <f>C64+D63</f>
        <v>-9552.5059633027522</v>
      </c>
      <c r="E64" s="17">
        <f t="shared" ref="E64:W64" si="19">D64+E63</f>
        <v>-5487.0699947395005</v>
      </c>
      <c r="F64" s="17">
        <f t="shared" si="19"/>
        <v>-1781.1411869965859</v>
      </c>
      <c r="G64" s="17">
        <f t="shared" si="19"/>
        <v>1596.7989306850436</v>
      </c>
      <c r="H64" s="17">
        <f t="shared" si="19"/>
        <v>4675.5136438476538</v>
      </c>
      <c r="I64" s="17">
        <f t="shared" si="19"/>
        <v>7481.2517524951054</v>
      </c>
      <c r="J64" s="17">
        <f t="shared" si="19"/>
        <v>10037.967235297689</v>
      </c>
      <c r="K64" s="17">
        <f t="shared" si="19"/>
        <v>12367.519718013502</v>
      </c>
      <c r="L64" s="17">
        <f t="shared" si="19"/>
        <v>14489.857424784776</v>
      </c>
      <c r="M64" s="17">
        <f t="shared" si="19"/>
        <v>16423.184144043942</v>
      </c>
      <c r="N64" s="17">
        <f t="shared" si="19"/>
        <v>18184.111606711525</v>
      </c>
      <c r="O64" s="17">
        <f t="shared" si="19"/>
        <v>19787.798552057702</v>
      </c>
      <c r="P64" s="17">
        <f t="shared" si="19"/>
        <v>21248.077645001893</v>
      </c>
      <c r="Q64" s="17">
        <f t="shared" si="19"/>
        <v>22577.571306801201</v>
      </c>
      <c r="R64" s="17">
        <f t="shared" si="19"/>
        <v>23787.797428171791</v>
      </c>
      <c r="S64" s="17">
        <f t="shared" si="19"/>
        <v>24889.265849116066</v>
      </c>
      <c r="T64" s="17">
        <f t="shared" si="19"/>
        <v>25891.56641237963</v>
      </c>
      <c r="U64" s="17">
        <f t="shared" si="19"/>
        <v>26803.449326885053</v>
      </c>
      <c r="V64" s="17">
        <f t="shared" si="19"/>
        <v>27632.89851309096</v>
      </c>
      <c r="W64" s="17">
        <f t="shared" si="19"/>
        <v>28387.198543463666</v>
      </c>
    </row>
    <row r="65" spans="1:23" x14ac:dyDescent="0.35">
      <c r="A65" s="16"/>
      <c r="B65" s="1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spans="1:23" x14ac:dyDescent="0.35">
      <c r="A66" s="15" t="s">
        <v>36</v>
      </c>
      <c r="B66" s="15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spans="1:23" x14ac:dyDescent="0.35">
      <c r="A67" s="16"/>
      <c r="B67" s="1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spans="1:23" x14ac:dyDescent="0.35">
      <c r="A68" s="71" t="s">
        <v>57</v>
      </c>
      <c r="B68" s="71"/>
      <c r="C68" s="1">
        <f>C64</f>
        <v>-14011.986499999999</v>
      </c>
      <c r="D68" s="1">
        <f t="shared" ref="D68:W68" si="20">D64</f>
        <v>-9552.5059633027522</v>
      </c>
      <c r="E68" s="1">
        <f t="shared" si="20"/>
        <v>-5487.0699947395005</v>
      </c>
      <c r="F68" s="1">
        <f t="shared" si="20"/>
        <v>-1781.1411869965859</v>
      </c>
      <c r="G68" s="1">
        <f t="shared" si="20"/>
        <v>1596.7989306850436</v>
      </c>
      <c r="H68" s="1">
        <f t="shared" si="20"/>
        <v>4675.5136438476538</v>
      </c>
      <c r="I68" s="1">
        <f t="shared" si="20"/>
        <v>7481.2517524951054</v>
      </c>
      <c r="J68" s="1">
        <f t="shared" si="20"/>
        <v>10037.967235297689</v>
      </c>
      <c r="K68" s="1">
        <f t="shared" si="20"/>
        <v>12367.519718013502</v>
      </c>
      <c r="L68" s="1">
        <f t="shared" si="20"/>
        <v>14489.857424784776</v>
      </c>
      <c r="M68" s="1">
        <f t="shared" si="20"/>
        <v>16423.184144043942</v>
      </c>
      <c r="N68" s="1">
        <f t="shared" si="20"/>
        <v>18184.111606711525</v>
      </c>
      <c r="O68" s="1">
        <f t="shared" si="20"/>
        <v>19787.798552057702</v>
      </c>
      <c r="P68" s="1">
        <f t="shared" si="20"/>
        <v>21248.077645001893</v>
      </c>
      <c r="Q68" s="1">
        <f t="shared" si="20"/>
        <v>22577.571306801201</v>
      </c>
      <c r="R68" s="1">
        <f t="shared" si="20"/>
        <v>23787.797428171791</v>
      </c>
      <c r="S68" s="1">
        <f t="shared" si="20"/>
        <v>24889.265849116066</v>
      </c>
      <c r="T68" s="1">
        <f t="shared" si="20"/>
        <v>25891.56641237963</v>
      </c>
      <c r="U68" s="1">
        <f t="shared" si="20"/>
        <v>26803.449326885053</v>
      </c>
      <c r="V68" s="1">
        <f t="shared" si="20"/>
        <v>27632.89851309096</v>
      </c>
      <c r="W68" s="1">
        <f t="shared" si="20"/>
        <v>28387.198543463666</v>
      </c>
    </row>
    <row r="69" spans="1:23" x14ac:dyDescent="0.35">
      <c r="A69" s="10" t="s">
        <v>8</v>
      </c>
      <c r="B69" s="25" cm="1">
        <f t="array" ref="B69">MAX(IF(C68:W68&lt;0,COLUMN(C68:W68)-COLUMN(C68)))</f>
        <v>3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spans="1:23" x14ac:dyDescent="0.35">
      <c r="A70" s="10" t="s">
        <v>10</v>
      </c>
      <c r="B70" s="25" cm="1">
        <f t="array" ref="B70">INDEX(C68:W68,B69+1)</f>
        <v>-1781.1411869965859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spans="1:23" x14ac:dyDescent="0.35">
      <c r="A71" s="1" t="s">
        <v>9</v>
      </c>
      <c r="B71" s="25" cm="1">
        <f t="array" ref="B71">INDEX(C68:W68,B69+2)</f>
        <v>1596.7989306850436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1:23" x14ac:dyDescent="0.35">
      <c r="A72" s="3" t="s">
        <v>5</v>
      </c>
      <c r="B72" s="3">
        <f>B69+ABS(B70)/(ABS(B70)+B71)</f>
        <v>3.5272861936401143</v>
      </c>
      <c r="C72" s="24"/>
    </row>
    <row r="73" spans="1:23" x14ac:dyDescent="0.35">
      <c r="A73" s="21"/>
      <c r="B73" s="22"/>
      <c r="C73" s="23"/>
      <c r="D73" s="23"/>
    </row>
    <row r="74" spans="1:23" x14ac:dyDescent="0.35">
      <c r="A74" s="68" t="s">
        <v>4</v>
      </c>
      <c r="B74" s="68"/>
      <c r="C74" s="20">
        <f>C57</f>
        <v>-14011.986499999999</v>
      </c>
      <c r="D74" s="2">
        <f t="shared" ref="D74:W74" si="21">C74+D57</f>
        <v>-9151.1527150000002</v>
      </c>
      <c r="E74" s="2">
        <f t="shared" si="21"/>
        <v>-4321.0082407500004</v>
      </c>
      <c r="F74" s="2">
        <f t="shared" si="21"/>
        <v>478.27703721249964</v>
      </c>
      <c r="G74" s="2">
        <f t="shared" si="21"/>
        <v>5246.5151870131249</v>
      </c>
      <c r="H74" s="2">
        <f t="shared" si="21"/>
        <v>9983.4993949882009</v>
      </c>
      <c r="I74" s="2">
        <f t="shared" si="21"/>
        <v>14689.003087991659</v>
      </c>
      <c r="J74" s="2">
        <f t="shared" si="21"/>
        <v>19362.779011352512</v>
      </c>
      <c r="K74" s="2">
        <f t="shared" si="21"/>
        <v>24004.558260268677</v>
      </c>
      <c r="L74" s="2">
        <f t="shared" si="21"/>
        <v>28614.049262312212</v>
      </c>
      <c r="M74" s="2">
        <f t="shared" si="21"/>
        <v>33190.936708604713</v>
      </c>
      <c r="N74" s="2">
        <f t="shared" si="21"/>
        <v>37734.880431099606</v>
      </c>
      <c r="O74" s="2">
        <f t="shared" si="21"/>
        <v>42245.514223279788</v>
      </c>
      <c r="P74" s="2">
        <f t="shared" si="21"/>
        <v>46722.4446014446</v>
      </c>
      <c r="Q74" s="2">
        <f t="shared" si="21"/>
        <v>51165.249503618652</v>
      </c>
      <c r="R74" s="2">
        <f t="shared" si="21"/>
        <v>55573.476922966693</v>
      </c>
      <c r="S74" s="2">
        <f t="shared" si="21"/>
        <v>59946.643472442964</v>
      </c>
      <c r="T74" s="2">
        <f t="shared" si="21"/>
        <v>64284.232877239752</v>
      </c>
      <c r="U74" s="2">
        <f t="shared" si="21"/>
        <v>68585.694391428158</v>
      </c>
      <c r="V74" s="2">
        <f t="shared" si="21"/>
        <v>72850.441135003697</v>
      </c>
      <c r="W74" s="2">
        <f t="shared" si="21"/>
        <v>77077.848347359992</v>
      </c>
    </row>
    <row r="75" spans="1:23" x14ac:dyDescent="0.35">
      <c r="A75" s="10" t="s">
        <v>8</v>
      </c>
      <c r="B75" s="26" cm="1">
        <f t="array" ref="B75">MAX(IF(C74:W74&lt;0,COLUMN(C74:W74)-COLUMN(C74)))</f>
        <v>2</v>
      </c>
      <c r="C75" s="24"/>
    </row>
    <row r="76" spans="1:23" x14ac:dyDescent="0.35">
      <c r="A76" s="10" t="s">
        <v>10</v>
      </c>
      <c r="B76" s="26" cm="1">
        <f t="array" ref="B76">INDEX(C74:W74,B75+1)</f>
        <v>-4321.0082407500004</v>
      </c>
      <c r="C76" s="24"/>
    </row>
    <row r="77" spans="1:23" x14ac:dyDescent="0.35">
      <c r="A77" s="1" t="s">
        <v>9</v>
      </c>
      <c r="B77" s="26" cm="1">
        <f t="array" ref="B77">INDEX(C74:W74,B75+2)</f>
        <v>478.27703721249964</v>
      </c>
      <c r="C77" s="24"/>
    </row>
    <row r="78" spans="1:23" x14ac:dyDescent="0.35">
      <c r="A78" s="3" t="s">
        <v>6</v>
      </c>
      <c r="B78" s="3">
        <f>B75+ABS(B76)/(ABS(B76)+B77)</f>
        <v>2.9003441117766711</v>
      </c>
      <c r="C78" s="7"/>
      <c r="D78" s="7"/>
    </row>
    <row r="79" spans="1:23" x14ac:dyDescent="0.35">
      <c r="A79" s="16"/>
      <c r="B79" s="16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spans="1:23" x14ac:dyDescent="0.35">
      <c r="A80" s="15" t="s">
        <v>37</v>
      </c>
      <c r="B80" s="15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spans="1:23" x14ac:dyDescent="0.35">
      <c r="B81" s="1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spans="1:23" x14ac:dyDescent="0.35">
      <c r="A82" s="74" t="s">
        <v>58</v>
      </c>
      <c r="B82" s="74"/>
      <c r="C82" s="13">
        <f>SUM(C63:W63)</f>
        <v>28387.198543463666</v>
      </c>
    </row>
    <row r="83" spans="1:23" x14ac:dyDescent="0.35">
      <c r="A83" s="70" t="s">
        <v>59</v>
      </c>
      <c r="B83" s="70"/>
      <c r="C83" s="4">
        <f>SUM(C61:W61)/SUM(C62:W62)</f>
        <v>2.6908235132629565</v>
      </c>
    </row>
    <row r="84" spans="1:23" x14ac:dyDescent="0.35">
      <c r="A84" s="70" t="s">
        <v>60</v>
      </c>
      <c r="B84" s="70"/>
      <c r="C84" s="5">
        <f>IRR(C57:W57)</f>
        <v>0.33947034593983982</v>
      </c>
    </row>
    <row r="85" spans="1:23" x14ac:dyDescent="0.35">
      <c r="A85" s="70" t="s">
        <v>2</v>
      </c>
      <c r="B85" s="70"/>
      <c r="C85" s="6">
        <f>ROUND(B72,2)</f>
        <v>3.53</v>
      </c>
    </row>
    <row r="86" spans="1:23" x14ac:dyDescent="0.35">
      <c r="A86" s="70" t="s">
        <v>3</v>
      </c>
      <c r="B86" s="70"/>
      <c r="C86" s="6">
        <f>ROUND(B78,2)</f>
        <v>2.9</v>
      </c>
    </row>
  </sheetData>
  <mergeCells count="12">
    <mergeCell ref="A74:B74"/>
    <mergeCell ref="A1:W1"/>
    <mergeCell ref="A86:B86"/>
    <mergeCell ref="A68:B68"/>
    <mergeCell ref="A63:B63"/>
    <mergeCell ref="A82:B82"/>
    <mergeCell ref="A83:B83"/>
    <mergeCell ref="A84:B84"/>
    <mergeCell ref="A85:B85"/>
    <mergeCell ref="A61:B61"/>
    <mergeCell ref="A62:B62"/>
    <mergeCell ref="A64:B64"/>
  </mergeCells>
  <pageMargins left="0.7" right="0.7" top="0.75" bottom="0.75" header="0.3" footer="0.3"/>
  <pageSetup orientation="portrait" r:id="rId1"/>
  <ignoredErrors>
    <ignoredError sqref="E3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D71DC-7C12-47DB-B030-650F21FA0F19}">
  <dimension ref="A1:S174"/>
  <sheetViews>
    <sheetView tabSelected="1" topLeftCell="A155" zoomScale="96" workbookViewId="0">
      <selection activeCell="I175" sqref="I175"/>
    </sheetView>
  </sheetViews>
  <sheetFormatPr defaultRowHeight="14.5" x14ac:dyDescent="0.35"/>
  <cols>
    <col min="1" max="1" width="28.7265625" customWidth="1"/>
    <col min="2" max="4" width="18.1796875" customWidth="1"/>
    <col min="5" max="5" width="19.54296875" customWidth="1"/>
    <col min="6" max="6" width="20.7265625" customWidth="1"/>
    <col min="7" max="7" width="19.7265625" customWidth="1"/>
    <col min="8" max="8" width="12.1796875" customWidth="1"/>
    <col min="9" max="9" width="16.6328125" customWidth="1"/>
    <col min="10" max="10" width="14.6328125" customWidth="1"/>
    <col min="19" max="19" width="23.7265625" customWidth="1"/>
  </cols>
  <sheetData>
    <row r="1" spans="1:6" ht="15.5" x14ac:dyDescent="0.35">
      <c r="A1" s="80" t="s">
        <v>74</v>
      </c>
      <c r="B1" s="80"/>
      <c r="C1" s="80"/>
      <c r="D1" s="80"/>
      <c r="E1" s="80"/>
      <c r="F1" s="80"/>
    </row>
    <row r="3" spans="1:6" ht="15.5" x14ac:dyDescent="0.35">
      <c r="A3" s="81" t="s">
        <v>75</v>
      </c>
      <c r="B3" s="82"/>
      <c r="C3" s="82"/>
    </row>
    <row r="4" spans="1:6" ht="15" thickBot="1" x14ac:dyDescent="0.4"/>
    <row r="5" spans="1:6" x14ac:dyDescent="0.35">
      <c r="A5" s="87" t="s">
        <v>11</v>
      </c>
      <c r="B5" s="88"/>
      <c r="C5" s="33">
        <v>0.09</v>
      </c>
      <c r="D5" s="89"/>
    </row>
    <row r="6" spans="1:6" x14ac:dyDescent="0.35">
      <c r="A6" s="85" t="s">
        <v>12</v>
      </c>
      <c r="B6" s="86"/>
      <c r="C6" s="29">
        <v>0.9</v>
      </c>
      <c r="D6" s="89"/>
    </row>
    <row r="7" spans="1:6" x14ac:dyDescent="0.35">
      <c r="A7" s="85" t="s">
        <v>13</v>
      </c>
      <c r="B7" s="86"/>
      <c r="C7" s="29">
        <v>0.8</v>
      </c>
      <c r="D7" s="89"/>
    </row>
    <row r="8" spans="1:6" x14ac:dyDescent="0.35">
      <c r="A8" s="85" t="s">
        <v>14</v>
      </c>
      <c r="B8" s="86"/>
      <c r="C8" s="29">
        <v>1.1000000000000001</v>
      </c>
      <c r="D8" s="89"/>
    </row>
    <row r="9" spans="1:6" x14ac:dyDescent="0.35">
      <c r="A9" s="85" t="s">
        <v>63</v>
      </c>
      <c r="B9" s="86"/>
      <c r="C9" s="29">
        <v>10000</v>
      </c>
      <c r="D9" s="89"/>
    </row>
    <row r="10" spans="1:6" x14ac:dyDescent="0.35">
      <c r="A10" s="85" t="s">
        <v>16</v>
      </c>
      <c r="B10" s="86"/>
      <c r="C10" s="29">
        <v>19</v>
      </c>
      <c r="D10" s="89"/>
    </row>
    <row r="11" spans="1:6" x14ac:dyDescent="0.35">
      <c r="A11" s="85" t="s">
        <v>17</v>
      </c>
      <c r="B11" s="86"/>
      <c r="C11" s="29">
        <v>180</v>
      </c>
      <c r="D11" s="89"/>
    </row>
    <row r="12" spans="1:6" x14ac:dyDescent="0.35">
      <c r="A12" s="85" t="s">
        <v>73</v>
      </c>
      <c r="B12" s="86"/>
      <c r="C12" s="29">
        <v>100</v>
      </c>
      <c r="D12" s="89"/>
    </row>
    <row r="13" spans="1:6" x14ac:dyDescent="0.35">
      <c r="A13" s="85" t="s">
        <v>70</v>
      </c>
      <c r="B13" s="86"/>
      <c r="C13" s="29">
        <v>1000</v>
      </c>
      <c r="D13" s="89"/>
    </row>
    <row r="14" spans="1:6" x14ac:dyDescent="0.35">
      <c r="A14" s="85" t="s">
        <v>18</v>
      </c>
      <c r="B14" s="86"/>
      <c r="C14" s="29">
        <v>1</v>
      </c>
      <c r="D14" s="89"/>
    </row>
    <row r="15" spans="1:6" x14ac:dyDescent="0.35">
      <c r="A15" s="85" t="s">
        <v>19</v>
      </c>
      <c r="B15" s="86"/>
      <c r="C15" s="29">
        <v>15</v>
      </c>
      <c r="D15" s="89"/>
    </row>
    <row r="16" spans="1:6" x14ac:dyDescent="0.35">
      <c r="A16" s="85" t="s">
        <v>64</v>
      </c>
      <c r="B16" s="86"/>
      <c r="C16" s="29">
        <v>30</v>
      </c>
      <c r="D16" s="89"/>
    </row>
    <row r="17" spans="1:5" x14ac:dyDescent="0.35">
      <c r="A17" s="85" t="s">
        <v>20</v>
      </c>
      <c r="B17" s="86"/>
      <c r="C17" s="34">
        <v>0.05</v>
      </c>
      <c r="D17" s="89"/>
    </row>
    <row r="18" spans="1:5" x14ac:dyDescent="0.35">
      <c r="A18" s="90" t="s">
        <v>67</v>
      </c>
      <c r="B18" s="91"/>
      <c r="C18" s="34">
        <v>0.01</v>
      </c>
      <c r="D18" s="89"/>
    </row>
    <row r="19" spans="1:5" ht="15" thickBot="1" x14ac:dyDescent="0.4">
      <c r="A19" s="83" t="s">
        <v>21</v>
      </c>
      <c r="B19" s="84"/>
      <c r="C19" s="27">
        <v>14833.65</v>
      </c>
      <c r="D19" s="89"/>
    </row>
    <row r="22" spans="1:5" x14ac:dyDescent="0.35">
      <c r="A22" s="81" t="s">
        <v>79</v>
      </c>
      <c r="B22" s="14"/>
      <c r="C22" s="14"/>
      <c r="D22" s="14"/>
      <c r="E22" s="14"/>
    </row>
    <row r="23" spans="1:5" ht="15" thickBot="1" x14ac:dyDescent="0.4"/>
    <row r="24" spans="1:5" x14ac:dyDescent="0.35">
      <c r="A24" s="95" t="s">
        <v>76</v>
      </c>
      <c r="B24" s="95" t="s">
        <v>58</v>
      </c>
      <c r="C24" s="95" t="s">
        <v>77</v>
      </c>
      <c r="D24" s="95" t="s">
        <v>78</v>
      </c>
      <c r="E24" s="95" t="s">
        <v>59</v>
      </c>
    </row>
    <row r="25" spans="1:5" x14ac:dyDescent="0.35">
      <c r="A25" s="96" t="s">
        <v>82</v>
      </c>
      <c r="B25" s="92">
        <f>ENPV</f>
        <v>28387.198543463666</v>
      </c>
      <c r="C25" s="93">
        <f>EIRR</f>
        <v>0.33947034593983982</v>
      </c>
      <c r="D25" s="92">
        <f>DiscountedEPBP</f>
        <v>3.53</v>
      </c>
      <c r="E25" s="92">
        <f>EBCR</f>
        <v>2.6908235132629565</v>
      </c>
    </row>
    <row r="26" spans="1:5" x14ac:dyDescent="0.35">
      <c r="A26" s="92">
        <v>15.2</v>
      </c>
      <c r="B26" s="92">
        <f t="dataTable" ref="B26:E28" dt2D="0" dtr="0" r1="C10" ca="1"/>
        <v>22428.952228352002</v>
      </c>
      <c r="C26" s="93">
        <v>0.28996085923085801</v>
      </c>
      <c r="D26" s="92">
        <v>4.2300000000000004</v>
      </c>
      <c r="E26" s="92">
        <v>2.3359331583031899</v>
      </c>
    </row>
    <row r="27" spans="1:5" x14ac:dyDescent="0.35">
      <c r="A27" s="92">
        <v>19</v>
      </c>
      <c r="B27" s="92">
        <v>28387.198543463666</v>
      </c>
      <c r="C27" s="93">
        <v>0.33947034593983982</v>
      </c>
      <c r="D27" s="92">
        <v>3.53</v>
      </c>
      <c r="E27" s="92">
        <v>2.6908235132629565</v>
      </c>
    </row>
    <row r="28" spans="1:5" ht="15" thickBot="1" x14ac:dyDescent="0.4">
      <c r="A28" s="27">
        <v>22.8</v>
      </c>
      <c r="B28" s="27">
        <v>34345.444858575334</v>
      </c>
      <c r="C28" s="98">
        <v>0.38864782521202845</v>
      </c>
      <c r="D28" s="27">
        <v>3.02</v>
      </c>
      <c r="E28" s="27">
        <v>3.0457138682227223</v>
      </c>
    </row>
    <row r="31" spans="1:5" x14ac:dyDescent="0.35">
      <c r="A31" s="81" t="s">
        <v>84</v>
      </c>
      <c r="B31" s="14"/>
      <c r="C31" s="14"/>
      <c r="D31" s="14"/>
      <c r="E31" s="14"/>
    </row>
    <row r="32" spans="1:5" ht="15" thickBot="1" x14ac:dyDescent="0.4"/>
    <row r="33" spans="1:5" ht="15" thickBot="1" x14ac:dyDescent="0.4">
      <c r="A33" s="95" t="s">
        <v>80</v>
      </c>
      <c r="B33" s="95" t="s">
        <v>58</v>
      </c>
      <c r="C33" s="95" t="s">
        <v>77</v>
      </c>
      <c r="D33" s="95" t="s">
        <v>78</v>
      </c>
      <c r="E33" s="95" t="s">
        <v>59</v>
      </c>
    </row>
    <row r="34" spans="1:5" x14ac:dyDescent="0.35">
      <c r="A34" s="96" t="s">
        <v>83</v>
      </c>
      <c r="B34" s="92">
        <f>ENPV</f>
        <v>28387.198543463666</v>
      </c>
      <c r="C34" s="93">
        <f>EIRR</f>
        <v>0.33947034593983982</v>
      </c>
      <c r="D34" s="92">
        <f>DiscountedEPBP</f>
        <v>3.53</v>
      </c>
      <c r="E34" s="92">
        <f>EBCR</f>
        <v>2.6908235132629565</v>
      </c>
    </row>
    <row r="35" spans="1:5" x14ac:dyDescent="0.35">
      <c r="A35" s="92">
        <v>162</v>
      </c>
      <c r="B35" s="92">
        <f t="dataTable" ref="B35:E37" dt2D="0" dtr="0" r1="C11" ca="1"/>
        <v>25408.075385907829</v>
      </c>
      <c r="C35" s="93">
        <v>0.31477138871697541</v>
      </c>
      <c r="D35" s="92">
        <v>3.84</v>
      </c>
      <c r="E35" s="92">
        <v>2.5133783357830728</v>
      </c>
    </row>
    <row r="36" spans="1:5" x14ac:dyDescent="0.35">
      <c r="A36" s="92">
        <v>180</v>
      </c>
      <c r="B36" s="92">
        <v>28387.198543463666</v>
      </c>
      <c r="C36" s="93">
        <v>0.33947034593983982</v>
      </c>
      <c r="D36" s="92">
        <v>3.53</v>
      </c>
      <c r="E36" s="92">
        <v>2.6908235132629565</v>
      </c>
    </row>
    <row r="37" spans="1:5" ht="15" thickBot="1" x14ac:dyDescent="0.4">
      <c r="A37" s="27">
        <v>198</v>
      </c>
      <c r="B37" s="27">
        <v>31366.321701019493</v>
      </c>
      <c r="C37" s="98">
        <v>0.364088451852707</v>
      </c>
      <c r="D37" s="27">
        <v>3.25</v>
      </c>
      <c r="E37" s="27">
        <v>2.868268690742839</v>
      </c>
    </row>
    <row r="40" spans="1:5" x14ac:dyDescent="0.35">
      <c r="A40" s="99" t="s">
        <v>86</v>
      </c>
      <c r="B40" s="99"/>
      <c r="C40" s="101"/>
      <c r="D40" s="101"/>
      <c r="E40" s="101"/>
    </row>
    <row r="41" spans="1:5" ht="15" thickBot="1" x14ac:dyDescent="0.4">
      <c r="A41" s="100"/>
      <c r="B41" s="100"/>
      <c r="C41" s="100"/>
      <c r="D41" s="100"/>
      <c r="E41" s="100"/>
    </row>
    <row r="42" spans="1:5" ht="15" thickBot="1" x14ac:dyDescent="0.4">
      <c r="A42" s="102" t="s">
        <v>81</v>
      </c>
      <c r="B42" s="104" t="s">
        <v>58</v>
      </c>
      <c r="C42" s="104" t="s">
        <v>77</v>
      </c>
      <c r="D42" s="104" t="s">
        <v>78</v>
      </c>
      <c r="E42" s="104" t="s">
        <v>59</v>
      </c>
    </row>
    <row r="43" spans="1:5" x14ac:dyDescent="0.35">
      <c r="A43" s="105" t="s">
        <v>85</v>
      </c>
      <c r="B43" s="92">
        <f>ENPV</f>
        <v>28387.198543463666</v>
      </c>
      <c r="C43" s="93">
        <f>EIRR</f>
        <v>0.33947034593983982</v>
      </c>
      <c r="D43" s="92">
        <f>DiscountedEPBP</f>
        <v>3.53</v>
      </c>
      <c r="E43" s="92">
        <f>EBCR</f>
        <v>2.6908235132629565</v>
      </c>
    </row>
    <row r="44" spans="1:5" x14ac:dyDescent="0.35">
      <c r="A44" s="108">
        <v>12608.602500000001</v>
      </c>
      <c r="B44" s="106">
        <f t="dataTable" ref="B44:E46" dt2D="0" dtr="0" r1="C19" ca="1"/>
        <v>30901.045223716712</v>
      </c>
      <c r="C44" s="107">
        <v>0.40825617873668163</v>
      </c>
      <c r="D44" s="106">
        <v>2.86</v>
      </c>
      <c r="E44" s="106">
        <v>3.1646767946675771</v>
      </c>
    </row>
    <row r="45" spans="1:5" x14ac:dyDescent="0.35">
      <c r="A45" s="108">
        <v>14833.65</v>
      </c>
      <c r="B45" s="106">
        <v>28387.198543463666</v>
      </c>
      <c r="C45" s="107">
        <v>0.33947034593983982</v>
      </c>
      <c r="D45" s="106">
        <v>3.53</v>
      </c>
      <c r="E45" s="106">
        <v>2.6908235132629565</v>
      </c>
    </row>
    <row r="46" spans="1:5" ht="15" thickBot="1" x14ac:dyDescent="0.4">
      <c r="A46" s="109">
        <v>17058.697499999998</v>
      </c>
      <c r="B46" s="110">
        <v>25873.351863210624</v>
      </c>
      <c r="C46" s="111">
        <v>0.28922508043975581</v>
      </c>
      <c r="D46" s="110">
        <v>4.24</v>
      </c>
      <c r="E46" s="110">
        <v>2.3403920135138074</v>
      </c>
    </row>
    <row r="49" spans="1:5" x14ac:dyDescent="0.35">
      <c r="A49" s="99" t="s">
        <v>89</v>
      </c>
      <c r="B49" s="99"/>
      <c r="C49" s="101"/>
      <c r="D49" s="101"/>
      <c r="E49" s="101"/>
    </row>
    <row r="50" spans="1:5" ht="15" thickBot="1" x14ac:dyDescent="0.4">
      <c r="A50" s="100"/>
      <c r="B50" s="100"/>
      <c r="C50" s="100"/>
      <c r="D50" s="100"/>
      <c r="E50" s="100"/>
    </row>
    <row r="51" spans="1:5" ht="15" thickBot="1" x14ac:dyDescent="0.4">
      <c r="A51" s="102" t="s">
        <v>87</v>
      </c>
      <c r="B51" s="104" t="s">
        <v>58</v>
      </c>
      <c r="C51" s="104" t="s">
        <v>77</v>
      </c>
      <c r="D51" s="104" t="s">
        <v>78</v>
      </c>
      <c r="E51" s="104" t="s">
        <v>59</v>
      </c>
    </row>
    <row r="52" spans="1:5" x14ac:dyDescent="0.35">
      <c r="A52" s="105" t="s">
        <v>88</v>
      </c>
      <c r="B52" s="92">
        <f>ENPV</f>
        <v>28387.198543463666</v>
      </c>
      <c r="C52" s="93">
        <f>EIRR</f>
        <v>0.33947034593983982</v>
      </c>
      <c r="D52" s="92">
        <f>DiscountedEPBP</f>
        <v>3.53</v>
      </c>
      <c r="E52" s="92">
        <f>EBCR</f>
        <v>2.6908235132629565</v>
      </c>
    </row>
    <row r="53" spans="1:5" x14ac:dyDescent="0.35">
      <c r="A53" s="112">
        <v>7.0000000000000007E-2</v>
      </c>
      <c r="B53" s="106">
        <f t="dataTable" ref="B53:E55" dt2D="0" dtr="0" r1="C5" ca="1"/>
        <v>35002.86047884501</v>
      </c>
      <c r="C53" s="107">
        <v>0.33947034593983982</v>
      </c>
      <c r="D53" s="106">
        <v>3.37</v>
      </c>
      <c r="E53" s="106">
        <v>3.042942955793059</v>
      </c>
    </row>
    <row r="54" spans="1:5" x14ac:dyDescent="0.35">
      <c r="A54" s="112">
        <v>0.09</v>
      </c>
      <c r="B54" s="106">
        <v>28387.198543463666</v>
      </c>
      <c r="C54" s="107">
        <v>0.33947034593983982</v>
      </c>
      <c r="D54" s="106">
        <v>3.53</v>
      </c>
      <c r="E54" s="106">
        <v>2.6908235132629565</v>
      </c>
    </row>
    <row r="55" spans="1:5" ht="15" thickBot="1" x14ac:dyDescent="0.4">
      <c r="A55" s="113">
        <v>0.11</v>
      </c>
      <c r="B55" s="110">
        <v>23107.781504042356</v>
      </c>
      <c r="C55" s="111">
        <v>0.33947034593983982</v>
      </c>
      <c r="D55" s="110">
        <v>3.7</v>
      </c>
      <c r="E55" s="110">
        <v>2.3986609864141557</v>
      </c>
    </row>
    <row r="58" spans="1:5" x14ac:dyDescent="0.35">
      <c r="A58" s="99" t="s">
        <v>90</v>
      </c>
      <c r="B58" s="99"/>
      <c r="C58" s="101"/>
      <c r="D58" s="101"/>
      <c r="E58" s="101"/>
    </row>
    <row r="59" spans="1:5" ht="15" thickBot="1" x14ac:dyDescent="0.4">
      <c r="A59" s="100"/>
      <c r="B59" s="100"/>
      <c r="C59" s="100"/>
      <c r="D59" s="100"/>
      <c r="E59" s="100"/>
    </row>
    <row r="60" spans="1:5" ht="15" thickBot="1" x14ac:dyDescent="0.4">
      <c r="A60" s="102" t="s">
        <v>91</v>
      </c>
      <c r="B60" s="104" t="s">
        <v>58</v>
      </c>
      <c r="C60" s="104" t="s">
        <v>77</v>
      </c>
      <c r="D60" s="104" t="s">
        <v>78</v>
      </c>
      <c r="E60" s="104" t="s">
        <v>59</v>
      </c>
    </row>
    <row r="61" spans="1:5" x14ac:dyDescent="0.35">
      <c r="A61" s="114" t="s">
        <v>92</v>
      </c>
      <c r="B61" s="92">
        <f>ENPV</f>
        <v>28387.198543463666</v>
      </c>
      <c r="C61" s="93">
        <f>EIRR</f>
        <v>0.33947034593983982</v>
      </c>
      <c r="D61" s="92">
        <f>DiscountedEPBP</f>
        <v>3.53</v>
      </c>
      <c r="E61" s="92">
        <f>EBCR</f>
        <v>2.6908235132629565</v>
      </c>
    </row>
    <row r="62" spans="1:5" x14ac:dyDescent="0.35">
      <c r="A62" s="115">
        <v>5000</v>
      </c>
      <c r="B62" s="106">
        <f t="dataTable" ref="B62:E64" dt2D="0" dtr="0" r1="C9" ca="1"/>
        <v>21651.153408788479</v>
      </c>
      <c r="C62" s="107">
        <v>0.28476441148038667</v>
      </c>
      <c r="D62" s="106">
        <v>4.3099999999999996</v>
      </c>
      <c r="E62" s="106">
        <v>2.2896052147164863</v>
      </c>
    </row>
    <row r="63" spans="1:5" x14ac:dyDescent="0.35">
      <c r="A63" s="115">
        <v>10000</v>
      </c>
      <c r="B63" s="106">
        <v>28387.198543463666</v>
      </c>
      <c r="C63" s="107">
        <v>0.33947034593983982</v>
      </c>
      <c r="D63" s="106">
        <v>3.53</v>
      </c>
      <c r="E63" s="106">
        <v>2.6908235132629565</v>
      </c>
    </row>
    <row r="64" spans="1:5" ht="15" thickBot="1" x14ac:dyDescent="0.4">
      <c r="A64" s="116">
        <v>15000</v>
      </c>
      <c r="B64" s="110">
        <v>35123.243678138853</v>
      </c>
      <c r="C64" s="111">
        <v>0.39344722186864245</v>
      </c>
      <c r="D64" s="110">
        <v>2.98</v>
      </c>
      <c r="E64" s="110">
        <v>3.0920418118094268</v>
      </c>
    </row>
    <row r="67" spans="1:5" x14ac:dyDescent="0.35">
      <c r="A67" s="99" t="s">
        <v>97</v>
      </c>
      <c r="B67" s="99"/>
      <c r="C67" s="101"/>
      <c r="D67" s="101"/>
      <c r="E67" s="101"/>
    </row>
    <row r="68" spans="1:5" ht="15" thickBot="1" x14ac:dyDescent="0.4">
      <c r="A68" s="100"/>
      <c r="B68" s="100"/>
      <c r="C68" s="100"/>
      <c r="D68" s="100"/>
      <c r="E68" s="100"/>
    </row>
    <row r="69" spans="1:5" ht="15" thickBot="1" x14ac:dyDescent="0.4">
      <c r="A69" s="102" t="s">
        <v>93</v>
      </c>
      <c r="B69" s="104" t="s">
        <v>58</v>
      </c>
      <c r="C69" s="104" t="s">
        <v>77</v>
      </c>
      <c r="D69" s="104" t="s">
        <v>78</v>
      </c>
      <c r="E69" s="104" t="s">
        <v>59</v>
      </c>
    </row>
    <row r="70" spans="1:5" x14ac:dyDescent="0.35">
      <c r="A70" s="114" t="s">
        <v>95</v>
      </c>
      <c r="B70" s="92">
        <f>ENPV</f>
        <v>28387.198543463666</v>
      </c>
      <c r="C70" s="93">
        <f>EIRR</f>
        <v>0.33947034593983982</v>
      </c>
      <c r="D70" s="92">
        <f>DiscountedEPBP</f>
        <v>3.53</v>
      </c>
      <c r="E70" s="92">
        <f>EBCR</f>
        <v>2.6908235132629565</v>
      </c>
    </row>
    <row r="71" spans="1:5" x14ac:dyDescent="0.35">
      <c r="A71" s="115">
        <v>0.85</v>
      </c>
      <c r="B71" s="106">
        <f t="dataTable" ref="B71:E73" dt2D="0" dtr="0" r1="C6" ca="1"/>
        <v>28658.521737649211</v>
      </c>
      <c r="C71" s="107">
        <v>0.34545180348371218</v>
      </c>
      <c r="D71" s="106">
        <v>3.46</v>
      </c>
      <c r="E71" s="106">
        <v>2.73502366425351</v>
      </c>
    </row>
    <row r="72" spans="1:5" x14ac:dyDescent="0.35">
      <c r="A72" s="115">
        <v>0.9</v>
      </c>
      <c r="B72" s="106">
        <v>28387.198543463666</v>
      </c>
      <c r="C72" s="107">
        <v>0.33947034593983982</v>
      </c>
      <c r="D72" s="106">
        <v>3.53</v>
      </c>
      <c r="E72" s="106">
        <v>2.6908235132629565</v>
      </c>
    </row>
    <row r="73" spans="1:5" ht="15" thickBot="1" x14ac:dyDescent="0.4">
      <c r="A73" s="116">
        <v>0.95</v>
      </c>
      <c r="B73" s="110">
        <v>28115.875349278132</v>
      </c>
      <c r="C73" s="111">
        <v>0.33366947063186347</v>
      </c>
      <c r="D73" s="110">
        <v>3.6</v>
      </c>
      <c r="E73" s="110">
        <v>2.6480292608091589</v>
      </c>
    </row>
    <row r="76" spans="1:5" x14ac:dyDescent="0.35">
      <c r="A76" s="99" t="s">
        <v>98</v>
      </c>
      <c r="B76" s="99"/>
      <c r="C76" s="101"/>
      <c r="D76" s="101"/>
      <c r="E76" s="101"/>
    </row>
    <row r="77" spans="1:5" ht="15" thickBot="1" x14ac:dyDescent="0.4">
      <c r="A77" s="100"/>
      <c r="B77" s="100"/>
      <c r="C77" s="100"/>
      <c r="D77" s="100"/>
      <c r="E77" s="100"/>
    </row>
    <row r="78" spans="1:5" ht="15" thickBot="1" x14ac:dyDescent="0.4">
      <c r="A78" s="95" t="s">
        <v>96</v>
      </c>
      <c r="B78" s="104" t="s">
        <v>58</v>
      </c>
      <c r="C78" s="104" t="s">
        <v>77</v>
      </c>
      <c r="D78" s="104" t="s">
        <v>78</v>
      </c>
      <c r="E78" s="104" t="s">
        <v>59</v>
      </c>
    </row>
    <row r="79" spans="1:5" x14ac:dyDescent="0.35">
      <c r="A79" s="114" t="s">
        <v>94</v>
      </c>
      <c r="B79" s="92">
        <f>ENPV</f>
        <v>28387.198543463666</v>
      </c>
      <c r="C79" s="93">
        <f>EIRR</f>
        <v>0.33947034593983982</v>
      </c>
      <c r="D79" s="92">
        <f>DiscountedEPBP</f>
        <v>3.53</v>
      </c>
      <c r="E79" s="92">
        <f>EBCR</f>
        <v>2.6908235132629565</v>
      </c>
    </row>
    <row r="80" spans="1:5" x14ac:dyDescent="0.35">
      <c r="A80" s="118">
        <v>0.7</v>
      </c>
      <c r="B80" s="106">
        <f t="dataTable" ref="B80:E82" dt2D="0" dtr="0" r1="C7" ca="1"/>
        <v>28594.11717648631</v>
      </c>
      <c r="C80" s="107">
        <v>0.34360850863931502</v>
      </c>
      <c r="D80" s="106">
        <v>3.48</v>
      </c>
      <c r="E80" s="106">
        <v>2.7244008582216117</v>
      </c>
    </row>
    <row r="81" spans="1:5" x14ac:dyDescent="0.35">
      <c r="A81" s="118">
        <v>0.8</v>
      </c>
      <c r="B81" s="106">
        <v>28387.198543463666</v>
      </c>
      <c r="C81" s="107">
        <v>0.33947034593983982</v>
      </c>
      <c r="D81" s="106">
        <v>3.53</v>
      </c>
      <c r="E81" s="106">
        <v>2.6908235132629565</v>
      </c>
    </row>
    <row r="82" spans="1:5" ht="15" thickBot="1" x14ac:dyDescent="0.4">
      <c r="A82" s="117">
        <v>1</v>
      </c>
      <c r="B82" s="110">
        <v>27973.361277418378</v>
      </c>
      <c r="C82" s="111">
        <v>0.33144021924935885</v>
      </c>
      <c r="D82" s="110">
        <v>3.62</v>
      </c>
      <c r="E82" s="110">
        <v>2.6260920703311283</v>
      </c>
    </row>
    <row r="85" spans="1:5" x14ac:dyDescent="0.35">
      <c r="A85" s="99" t="s">
        <v>99</v>
      </c>
      <c r="B85" s="99"/>
      <c r="C85" s="101"/>
      <c r="D85" s="101"/>
      <c r="E85" s="101"/>
    </row>
    <row r="86" spans="1:5" ht="15" thickBot="1" x14ac:dyDescent="0.4">
      <c r="A86" s="100"/>
      <c r="B86" s="100"/>
      <c r="C86" s="100"/>
      <c r="D86" s="100"/>
      <c r="E86" s="100"/>
    </row>
    <row r="87" spans="1:5" ht="15" thickBot="1" x14ac:dyDescent="0.4">
      <c r="A87" s="95" t="s">
        <v>100</v>
      </c>
      <c r="B87" s="104" t="s">
        <v>58</v>
      </c>
      <c r="C87" s="104" t="s">
        <v>77</v>
      </c>
      <c r="D87" s="104" t="s">
        <v>78</v>
      </c>
      <c r="E87" s="104" t="s">
        <v>59</v>
      </c>
    </row>
    <row r="88" spans="1:5" x14ac:dyDescent="0.35">
      <c r="A88" s="114" t="s">
        <v>101</v>
      </c>
      <c r="B88" s="92">
        <f>ENPV</f>
        <v>28387.198543463666</v>
      </c>
      <c r="C88" s="93">
        <f>EIRR</f>
        <v>0.33947034593983982</v>
      </c>
      <c r="D88" s="92">
        <f>DiscountedEPBP</f>
        <v>3.53</v>
      </c>
      <c r="E88" s="92">
        <f>EBCR</f>
        <v>2.6908235132629565</v>
      </c>
    </row>
    <row r="89" spans="1:5" x14ac:dyDescent="0.35">
      <c r="A89" s="118">
        <v>1</v>
      </c>
      <c r="B89" s="106">
        <f t="dataTable" ref="B89:E91" dt2D="0" dtr="0" r1="C8" ca="1"/>
        <v>29316.272298812102</v>
      </c>
      <c r="C89" s="107">
        <v>0.36350098375757289</v>
      </c>
      <c r="D89" s="106">
        <v>3.26</v>
      </c>
      <c r="E89" s="106">
        <v>2.8484520517859018</v>
      </c>
    </row>
    <row r="90" spans="1:5" x14ac:dyDescent="0.35">
      <c r="A90" s="118">
        <v>1.1000000000000001</v>
      </c>
      <c r="B90" s="106">
        <v>28387.198543463666</v>
      </c>
      <c r="C90" s="107">
        <v>0.33947034593983982</v>
      </c>
      <c r="D90" s="106">
        <v>3.53</v>
      </c>
      <c r="E90" s="106">
        <v>2.6908235132629565</v>
      </c>
    </row>
    <row r="91" spans="1:5" ht="15" thickBot="1" x14ac:dyDescent="0.4">
      <c r="A91" s="117">
        <v>1.2</v>
      </c>
      <c r="B91" s="110">
        <v>27458.124788115241</v>
      </c>
      <c r="C91" s="111">
        <v>0.31824044342679869</v>
      </c>
      <c r="D91" s="110">
        <v>3.79</v>
      </c>
      <c r="E91" s="110">
        <v>2.5497259727691262</v>
      </c>
    </row>
    <row r="94" spans="1:5" x14ac:dyDescent="0.35">
      <c r="A94" s="99" t="s">
        <v>104</v>
      </c>
      <c r="B94" s="99"/>
      <c r="C94" s="101"/>
      <c r="D94" s="101"/>
      <c r="E94" s="101"/>
    </row>
    <row r="95" spans="1:5" ht="15" thickBot="1" x14ac:dyDescent="0.4">
      <c r="A95" s="100"/>
      <c r="B95" s="100"/>
      <c r="C95" s="100"/>
      <c r="D95" s="100"/>
      <c r="E95" s="100"/>
    </row>
    <row r="96" spans="1:5" ht="15" thickBot="1" x14ac:dyDescent="0.4">
      <c r="A96" s="95" t="s">
        <v>102</v>
      </c>
      <c r="B96" s="104" t="s">
        <v>58</v>
      </c>
      <c r="C96" s="104" t="s">
        <v>77</v>
      </c>
      <c r="D96" s="104" t="s">
        <v>78</v>
      </c>
      <c r="E96" s="104" t="s">
        <v>59</v>
      </c>
    </row>
    <row r="97" spans="1:5" x14ac:dyDescent="0.35">
      <c r="A97" s="114" t="s">
        <v>122</v>
      </c>
      <c r="B97" s="92">
        <f>ENPV</f>
        <v>28387.198543463666</v>
      </c>
      <c r="C97" s="93">
        <f>EIRR</f>
        <v>0.33947034593983982</v>
      </c>
      <c r="D97" s="92">
        <f>DiscountedEPBP</f>
        <v>3.53</v>
      </c>
      <c r="E97" s="92">
        <f>EBCR</f>
        <v>2.6908235132629565</v>
      </c>
    </row>
    <row r="98" spans="1:5" x14ac:dyDescent="0.35">
      <c r="A98" s="119">
        <v>9.7999999999999997E-3</v>
      </c>
      <c r="B98" s="106">
        <f t="dataTable" ref="B98:E100" dt2D="0" dtr="0" r1="C18" ca="1"/>
        <v>28422.738370830739</v>
      </c>
      <c r="C98" s="107">
        <v>0.33970205198911718</v>
      </c>
      <c r="D98" s="106">
        <v>3.52</v>
      </c>
      <c r="E98" s="106">
        <v>2.696531679127339</v>
      </c>
    </row>
    <row r="99" spans="1:5" x14ac:dyDescent="0.35">
      <c r="A99" s="119">
        <v>0.01</v>
      </c>
      <c r="B99" s="106">
        <v>28387.198543463666</v>
      </c>
      <c r="C99" s="107">
        <v>0.33947034593983982</v>
      </c>
      <c r="D99" s="106">
        <v>3.53</v>
      </c>
      <c r="E99" s="106">
        <v>2.6908235132629565</v>
      </c>
    </row>
    <row r="100" spans="1:5" ht="15" thickBot="1" x14ac:dyDescent="0.4">
      <c r="A100" s="120">
        <v>1.2E-2</v>
      </c>
      <c r="B100" s="110">
        <v>28031.800269792944</v>
      </c>
      <c r="C100" s="111">
        <v>0.33714997475825514</v>
      </c>
      <c r="D100" s="110">
        <v>3.55</v>
      </c>
      <c r="E100" s="110">
        <v>2.6350434706738226</v>
      </c>
    </row>
    <row r="103" spans="1:5" x14ac:dyDescent="0.35">
      <c r="A103" s="99" t="s">
        <v>105</v>
      </c>
      <c r="B103" s="99"/>
      <c r="C103" s="101"/>
      <c r="D103" s="101"/>
      <c r="E103" s="101"/>
    </row>
    <row r="104" spans="1:5" ht="15" thickBot="1" x14ac:dyDescent="0.4">
      <c r="A104" s="100"/>
      <c r="B104" s="100"/>
      <c r="C104" s="100"/>
      <c r="D104" s="100"/>
      <c r="E104" s="100"/>
    </row>
    <row r="105" spans="1:5" ht="15" thickBot="1" x14ac:dyDescent="0.4">
      <c r="A105" s="95" t="s">
        <v>106</v>
      </c>
      <c r="B105" s="104" t="s">
        <v>58</v>
      </c>
      <c r="C105" s="104" t="s">
        <v>77</v>
      </c>
      <c r="D105" s="104" t="s">
        <v>78</v>
      </c>
      <c r="E105" s="104" t="s">
        <v>59</v>
      </c>
    </row>
    <row r="106" spans="1:5" x14ac:dyDescent="0.35">
      <c r="A106" s="114" t="s">
        <v>107</v>
      </c>
      <c r="B106" s="92">
        <f>ENPV</f>
        <v>28387.198543463666</v>
      </c>
      <c r="C106" s="93">
        <f>EIRR</f>
        <v>0.33947034593983982</v>
      </c>
      <c r="D106" s="92">
        <f>DiscountedEPBP</f>
        <v>3.53</v>
      </c>
      <c r="E106" s="92">
        <f>EBCR</f>
        <v>2.6908235132629565</v>
      </c>
    </row>
    <row r="107" spans="1:5" x14ac:dyDescent="0.35">
      <c r="A107" s="121">
        <v>0.03</v>
      </c>
      <c r="B107" s="106">
        <f t="dataTable" ref="B107:E109" dt2D="0" dtr="0" r1="C17" ca="1"/>
        <v>28639.444199153415</v>
      </c>
      <c r="C107" s="107">
        <v>0.34019064994408499</v>
      </c>
      <c r="D107" s="106">
        <v>3.52</v>
      </c>
      <c r="E107" s="106">
        <v>2.7318684145602372</v>
      </c>
    </row>
    <row r="108" spans="1:5" x14ac:dyDescent="0.35">
      <c r="A108" s="121">
        <v>0.05</v>
      </c>
      <c r="B108" s="106">
        <v>28387.198543463666</v>
      </c>
      <c r="C108" s="107">
        <v>0.33947034593983982</v>
      </c>
      <c r="D108" s="106">
        <v>3.53</v>
      </c>
      <c r="E108" s="106">
        <v>2.6908235132629565</v>
      </c>
    </row>
    <row r="109" spans="1:5" ht="15" thickBot="1" x14ac:dyDescent="0.4">
      <c r="A109" s="122">
        <v>7.0000000000000007E-2</v>
      </c>
      <c r="B109" s="110">
        <v>28075.084136785517</v>
      </c>
      <c r="C109" s="111">
        <v>0.33865207963688926</v>
      </c>
      <c r="D109" s="110">
        <v>3.53</v>
      </c>
      <c r="E109" s="110">
        <v>2.6417129201610243</v>
      </c>
    </row>
    <row r="112" spans="1:5" x14ac:dyDescent="0.35">
      <c r="A112" s="99" t="s">
        <v>108</v>
      </c>
      <c r="B112" s="99"/>
      <c r="C112" s="101"/>
      <c r="D112" s="101"/>
      <c r="E112" s="101"/>
    </row>
    <row r="113" spans="1:5" ht="15" thickBot="1" x14ac:dyDescent="0.4">
      <c r="A113" s="100"/>
      <c r="B113" s="100"/>
      <c r="C113" s="100"/>
      <c r="D113" s="100"/>
      <c r="E113" s="100"/>
    </row>
    <row r="114" spans="1:5" ht="15" thickBot="1" x14ac:dyDescent="0.4">
      <c r="A114" s="95" t="s">
        <v>110</v>
      </c>
      <c r="B114" s="104" t="s">
        <v>58</v>
      </c>
      <c r="C114" s="104" t="s">
        <v>77</v>
      </c>
      <c r="D114" s="104" t="s">
        <v>78</v>
      </c>
      <c r="E114" s="104" t="s">
        <v>59</v>
      </c>
    </row>
    <row r="115" spans="1:5" x14ac:dyDescent="0.35">
      <c r="A115" s="114" t="s">
        <v>115</v>
      </c>
      <c r="B115" s="92">
        <f>ENPV</f>
        <v>28387.198543463666</v>
      </c>
      <c r="C115" s="93">
        <f>EIRR</f>
        <v>0.33947034593983982</v>
      </c>
      <c r="D115" s="92">
        <f>DiscountedEPBP</f>
        <v>3.53</v>
      </c>
      <c r="E115" s="92">
        <f>EBCR</f>
        <v>2.6908235132629565</v>
      </c>
    </row>
    <row r="116" spans="1:5" x14ac:dyDescent="0.35">
      <c r="A116" s="115">
        <v>800</v>
      </c>
      <c r="B116" s="106">
        <f t="dataTable" ref="B116:E118" dt2D="0" dtr="0" r1="C13" ca="1"/>
        <v>28187.198543463666</v>
      </c>
      <c r="C116" s="107">
        <v>0.3345312536221805</v>
      </c>
      <c r="D116" s="106">
        <v>3.59</v>
      </c>
      <c r="E116" s="106">
        <v>2.6789109357631085</v>
      </c>
    </row>
    <row r="117" spans="1:5" x14ac:dyDescent="0.35">
      <c r="A117" s="115">
        <v>1000</v>
      </c>
      <c r="B117" s="106">
        <v>28387.198543463666</v>
      </c>
      <c r="C117" s="107">
        <v>0.33947034593983982</v>
      </c>
      <c r="D117" s="106">
        <v>3.53</v>
      </c>
      <c r="E117" s="106">
        <v>2.6908235132629565</v>
      </c>
    </row>
    <row r="118" spans="1:5" ht="15" thickBot="1" x14ac:dyDescent="0.4">
      <c r="A118" s="116">
        <v>1200</v>
      </c>
      <c r="B118" s="110">
        <v>28587.198543463666</v>
      </c>
      <c r="C118" s="111">
        <v>0.34454904110999673</v>
      </c>
      <c r="D118" s="110">
        <v>3.47</v>
      </c>
      <c r="E118" s="110">
        <v>2.7027360907628051</v>
      </c>
    </row>
    <row r="121" spans="1:5" x14ac:dyDescent="0.35">
      <c r="A121" s="99" t="s">
        <v>109</v>
      </c>
      <c r="B121" s="99"/>
      <c r="C121" s="101"/>
      <c r="D121" s="101"/>
      <c r="E121" s="101"/>
    </row>
    <row r="122" spans="1:5" ht="15" thickBot="1" x14ac:dyDescent="0.4">
      <c r="A122" s="100"/>
      <c r="B122" s="100"/>
      <c r="C122" s="100"/>
      <c r="D122" s="100"/>
      <c r="E122" s="100"/>
    </row>
    <row r="123" spans="1:5" ht="15" thickBot="1" x14ac:dyDescent="0.4">
      <c r="A123" s="95" t="s">
        <v>111</v>
      </c>
      <c r="B123" s="104" t="s">
        <v>58</v>
      </c>
      <c r="C123" s="104" t="s">
        <v>77</v>
      </c>
      <c r="D123" s="104" t="s">
        <v>78</v>
      </c>
      <c r="E123" s="104" t="s">
        <v>59</v>
      </c>
    </row>
    <row r="124" spans="1:5" x14ac:dyDescent="0.35">
      <c r="A124" s="114" t="s">
        <v>114</v>
      </c>
      <c r="B124" s="92">
        <f>ENPV</f>
        <v>28387.198543463666</v>
      </c>
      <c r="C124" s="93">
        <f>EIRR</f>
        <v>0.33947034593983982</v>
      </c>
      <c r="D124" s="92">
        <f>DiscountedEPBP</f>
        <v>3.53</v>
      </c>
      <c r="E124" s="92">
        <f>EBCR</f>
        <v>2.6908235132629565</v>
      </c>
    </row>
    <row r="125" spans="1:5" x14ac:dyDescent="0.35">
      <c r="A125" s="115">
        <v>80</v>
      </c>
      <c r="B125" s="106">
        <f t="dataTable" ref="B125:E127" dt2D="0" dtr="0" r1="C12" ca="1"/>
        <v>28204.627630081952</v>
      </c>
      <c r="C125" s="107">
        <v>0.33799914749298288</v>
      </c>
      <c r="D125" s="106">
        <v>3.54</v>
      </c>
      <c r="E125" s="106">
        <v>2.6799490624885669</v>
      </c>
    </row>
    <row r="126" spans="1:5" x14ac:dyDescent="0.35">
      <c r="A126" s="115">
        <v>100</v>
      </c>
      <c r="B126" s="106">
        <v>28387.198543463666</v>
      </c>
      <c r="C126" s="107">
        <v>0.33947034593983982</v>
      </c>
      <c r="D126" s="106">
        <v>3.53</v>
      </c>
      <c r="E126" s="106">
        <v>2.6908235132629565</v>
      </c>
    </row>
    <row r="127" spans="1:5" ht="15" thickBot="1" x14ac:dyDescent="0.4">
      <c r="A127" s="116">
        <v>120</v>
      </c>
      <c r="B127" s="110">
        <v>28569.769456845384</v>
      </c>
      <c r="C127" s="111">
        <v>0.34094102617283761</v>
      </c>
      <c r="D127" s="110">
        <v>3.51</v>
      </c>
      <c r="E127" s="110">
        <v>2.7016979640373457</v>
      </c>
    </row>
    <row r="130" spans="1:5" x14ac:dyDescent="0.35">
      <c r="A130" s="99" t="s">
        <v>112</v>
      </c>
      <c r="B130" s="99"/>
      <c r="C130" s="101"/>
      <c r="D130" s="101"/>
      <c r="E130" s="101"/>
    </row>
    <row r="131" spans="1:5" ht="15" thickBot="1" x14ac:dyDescent="0.4">
      <c r="A131" s="100"/>
      <c r="B131" s="100"/>
      <c r="C131" s="100"/>
      <c r="D131" s="100"/>
      <c r="E131" s="100"/>
    </row>
    <row r="132" spans="1:5" ht="15" thickBot="1" x14ac:dyDescent="0.4">
      <c r="A132" s="95" t="s">
        <v>113</v>
      </c>
      <c r="B132" s="104" t="s">
        <v>58</v>
      </c>
      <c r="C132" s="104" t="s">
        <v>77</v>
      </c>
      <c r="D132" s="104" t="s">
        <v>78</v>
      </c>
      <c r="E132" s="104" t="s">
        <v>59</v>
      </c>
    </row>
    <row r="133" spans="1:5" x14ac:dyDescent="0.35">
      <c r="A133" s="114" t="s">
        <v>103</v>
      </c>
      <c r="B133" s="92">
        <f>ENPV</f>
        <v>28387.198543463666</v>
      </c>
      <c r="C133" s="93">
        <f>EIRR</f>
        <v>0.33947034593983982</v>
      </c>
      <c r="D133" s="92">
        <f>DiscountedEPBP</f>
        <v>3.53</v>
      </c>
      <c r="E133" s="92">
        <f>EBCR</f>
        <v>2.6908235132629565</v>
      </c>
    </row>
    <row r="134" spans="1:5" x14ac:dyDescent="0.35">
      <c r="A134" s="115">
        <v>0.8</v>
      </c>
      <c r="B134" s="106">
        <f t="dataTable" ref="B134:E136" dt2D="0" dtr="0" r1="C14" ca="1"/>
        <v>28004.627630081952</v>
      </c>
      <c r="C134" s="107">
        <v>0.33307937323707892</v>
      </c>
      <c r="D134" s="106">
        <v>3.6</v>
      </c>
      <c r="E134" s="106">
        <v>2.6680364849887188</v>
      </c>
    </row>
    <row r="135" spans="1:5" x14ac:dyDescent="0.35">
      <c r="A135" s="115">
        <v>1</v>
      </c>
      <c r="B135" s="106">
        <v>28387.198543463666</v>
      </c>
      <c r="C135" s="107">
        <v>0.33947034593983982</v>
      </c>
      <c r="D135" s="106">
        <v>3.53</v>
      </c>
      <c r="E135" s="106">
        <v>2.6908235132629565</v>
      </c>
    </row>
    <row r="136" spans="1:5" ht="15" thickBot="1" x14ac:dyDescent="0.4">
      <c r="A136" s="116">
        <v>1.2</v>
      </c>
      <c r="B136" s="110">
        <v>28769.769456845384</v>
      </c>
      <c r="C136" s="111">
        <v>0.34603964375100049</v>
      </c>
      <c r="D136" s="110">
        <v>3.45</v>
      </c>
      <c r="E136" s="110">
        <v>2.7136105415371934</v>
      </c>
    </row>
    <row r="139" spans="1:5" x14ac:dyDescent="0.35">
      <c r="A139" s="99" t="s">
        <v>116</v>
      </c>
      <c r="B139" s="99"/>
      <c r="C139" s="101"/>
      <c r="D139" s="101"/>
      <c r="E139" s="101"/>
    </row>
    <row r="140" spans="1:5" ht="15" thickBot="1" x14ac:dyDescent="0.4">
      <c r="A140" s="100"/>
      <c r="B140" s="100"/>
      <c r="C140" s="100"/>
      <c r="D140" s="100"/>
      <c r="E140" s="100"/>
    </row>
    <row r="141" spans="1:5" ht="15" thickBot="1" x14ac:dyDescent="0.4">
      <c r="A141" s="95" t="s">
        <v>117</v>
      </c>
      <c r="B141" s="104" t="s">
        <v>58</v>
      </c>
      <c r="C141" s="104" t="s">
        <v>77</v>
      </c>
      <c r="D141" s="104" t="s">
        <v>78</v>
      </c>
      <c r="E141" s="104" t="s">
        <v>59</v>
      </c>
    </row>
    <row r="142" spans="1:5" x14ac:dyDescent="0.35">
      <c r="A142" s="114" t="s">
        <v>118</v>
      </c>
      <c r="B142" s="92">
        <f>ENPV</f>
        <v>28387.198543463666</v>
      </c>
      <c r="C142" s="93">
        <f>EIRR</f>
        <v>0.33947034593983982</v>
      </c>
      <c r="D142" s="92">
        <f>DiscountedEPBP</f>
        <v>3.53</v>
      </c>
      <c r="E142" s="92">
        <f>EBCR</f>
        <v>2.6908235132629565</v>
      </c>
    </row>
    <row r="143" spans="1:5" x14ac:dyDescent="0.35">
      <c r="A143" s="115">
        <v>7.5</v>
      </c>
      <c r="B143" s="106">
        <f t="dataTable" ref="B143:E145" dt2D="0" dtr="0" r1="C15" ca="1"/>
        <v>28387.198543463666</v>
      </c>
      <c r="C143" s="107">
        <v>0.33947034593983982</v>
      </c>
      <c r="D143" s="106">
        <v>3.53</v>
      </c>
      <c r="E143" s="106">
        <v>2.6908235132629565</v>
      </c>
    </row>
    <row r="144" spans="1:5" x14ac:dyDescent="0.35">
      <c r="A144" s="115">
        <v>15</v>
      </c>
      <c r="B144" s="106">
        <v>28387.198543463666</v>
      </c>
      <c r="C144" s="107">
        <v>0.33947034593983982</v>
      </c>
      <c r="D144" s="106">
        <v>3.53</v>
      </c>
      <c r="E144" s="106">
        <v>2.6908235132629565</v>
      </c>
    </row>
    <row r="145" spans="1:19" ht="15" thickBot="1" x14ac:dyDescent="0.4">
      <c r="A145" s="116">
        <v>22.5</v>
      </c>
      <c r="B145" s="110">
        <v>28387.198543463666</v>
      </c>
      <c r="C145" s="111">
        <v>0.33947034593983982</v>
      </c>
      <c r="D145" s="110">
        <v>3.53</v>
      </c>
      <c r="E145" s="110">
        <v>2.6908235132629565</v>
      </c>
    </row>
    <row r="148" spans="1:19" x14ac:dyDescent="0.35">
      <c r="A148" s="99" t="s">
        <v>119</v>
      </c>
      <c r="B148" s="99"/>
      <c r="C148" s="101"/>
      <c r="D148" s="101"/>
      <c r="E148" s="101"/>
    </row>
    <row r="149" spans="1:19" ht="15" thickBot="1" x14ac:dyDescent="0.4">
      <c r="A149" s="100"/>
      <c r="B149" s="100"/>
      <c r="C149" s="100"/>
      <c r="D149" s="100"/>
      <c r="E149" s="100"/>
    </row>
    <row r="150" spans="1:19" ht="15" thickBot="1" x14ac:dyDescent="0.4">
      <c r="A150" s="95" t="s">
        <v>120</v>
      </c>
      <c r="B150" s="104" t="s">
        <v>58</v>
      </c>
      <c r="C150" s="104" t="s">
        <v>77</v>
      </c>
      <c r="D150" s="104" t="s">
        <v>78</v>
      </c>
      <c r="E150" s="104" t="s">
        <v>59</v>
      </c>
    </row>
    <row r="151" spans="1:19" x14ac:dyDescent="0.35">
      <c r="A151" s="114" t="s">
        <v>121</v>
      </c>
      <c r="B151" s="92">
        <f>ENPV</f>
        <v>28387.198543463666</v>
      </c>
      <c r="C151" s="93">
        <f>EIRR</f>
        <v>0.33947034593983982</v>
      </c>
      <c r="D151" s="92">
        <f>DiscountedEPBP</f>
        <v>3.53</v>
      </c>
      <c r="E151" s="92">
        <f>EBCR</f>
        <v>2.6908235132629565</v>
      </c>
    </row>
    <row r="152" spans="1:19" x14ac:dyDescent="0.35">
      <c r="A152" s="115">
        <v>15</v>
      </c>
      <c r="B152" s="106">
        <f t="dataTable" ref="B152:E154" dt2D="0" dtr="0" r1="C16"/>
        <v>28402.198543463666</v>
      </c>
      <c r="C152" s="107">
        <v>0.3398463303437691</v>
      </c>
      <c r="D152" s="106">
        <v>3.52</v>
      </c>
      <c r="E152" s="106">
        <v>2.6932297613822591</v>
      </c>
    </row>
    <row r="153" spans="1:19" x14ac:dyDescent="0.35">
      <c r="A153" s="115">
        <v>30</v>
      </c>
      <c r="B153" s="106">
        <v>28387.198543463666</v>
      </c>
      <c r="C153" s="107">
        <v>0.33947034593983982</v>
      </c>
      <c r="D153" s="106">
        <v>3.53</v>
      </c>
      <c r="E153" s="106">
        <v>2.6908235132629565</v>
      </c>
    </row>
    <row r="154" spans="1:19" ht="15" thickBot="1" x14ac:dyDescent="0.4">
      <c r="A154" s="116">
        <v>45</v>
      </c>
      <c r="B154" s="110">
        <v>28372.198543463666</v>
      </c>
      <c r="C154" s="111">
        <v>0.33909514664003026</v>
      </c>
      <c r="D154" s="110">
        <v>3.53</v>
      </c>
      <c r="E154" s="110">
        <v>2.6884215609981328</v>
      </c>
    </row>
    <row r="157" spans="1:19" x14ac:dyDescent="0.35">
      <c r="A157" s="81" t="s">
        <v>149</v>
      </c>
      <c r="B157" s="14"/>
      <c r="C157" s="14"/>
      <c r="D157" s="14"/>
      <c r="E157" s="14"/>
    </row>
    <row r="158" spans="1:19" ht="15" thickBot="1" x14ac:dyDescent="0.4"/>
    <row r="159" spans="1:19" ht="15" thickBot="1" x14ac:dyDescent="0.4">
      <c r="A159" s="131" t="s">
        <v>123</v>
      </c>
      <c r="B159" s="103"/>
      <c r="C159" s="95" t="s">
        <v>124</v>
      </c>
      <c r="D159" s="95" t="s">
        <v>125</v>
      </c>
      <c r="E159" s="95" t="s">
        <v>151</v>
      </c>
      <c r="F159" s="95" t="s">
        <v>126</v>
      </c>
      <c r="G159" s="95" t="s">
        <v>127</v>
      </c>
      <c r="H159" s="95" t="s">
        <v>150</v>
      </c>
      <c r="I159" s="95" t="s">
        <v>128</v>
      </c>
      <c r="J159" s="95" t="s">
        <v>129</v>
      </c>
      <c r="K159" s="131" t="s">
        <v>130</v>
      </c>
      <c r="L159" s="132"/>
      <c r="M159" s="132"/>
      <c r="N159" s="132"/>
      <c r="O159" s="132"/>
      <c r="P159" s="132"/>
      <c r="Q159" s="132"/>
      <c r="R159" s="132"/>
      <c r="S159" s="103"/>
    </row>
    <row r="160" spans="1:19" x14ac:dyDescent="0.35">
      <c r="A160" s="123" t="s">
        <v>76</v>
      </c>
      <c r="B160" s="94"/>
      <c r="C160" s="92">
        <v>19</v>
      </c>
      <c r="D160" s="96" t="s">
        <v>131</v>
      </c>
      <c r="E160" s="126">
        <f>ENPV</f>
        <v>28387.198543463666</v>
      </c>
      <c r="F160" s="134">
        <v>22428.95</v>
      </c>
      <c r="G160" s="134">
        <v>34345.440000000002</v>
      </c>
      <c r="H160" s="136">
        <v>0.4</v>
      </c>
      <c r="I160" s="138">
        <f>(G160-F160)/(H160*E160)</f>
        <v>1.0494598455845028</v>
      </c>
      <c r="J160" s="92" t="str">
        <f>IF(ABS(I160)&gt;=1,"High",
 IF(ABS(I160)&gt;=0.5,"Moderate",
 IF(ABS(I160)&gt;0,"Low","None")))</f>
        <v>High</v>
      </c>
      <c r="K160" s="123" t="s">
        <v>152</v>
      </c>
      <c r="L160" s="129"/>
      <c r="M160" s="129"/>
      <c r="N160" s="129"/>
      <c r="O160" s="129"/>
      <c r="P160" s="129"/>
      <c r="Q160" s="129"/>
      <c r="R160" s="129"/>
      <c r="S160" s="94"/>
    </row>
    <row r="161" spans="1:19" x14ac:dyDescent="0.35">
      <c r="A161" s="123" t="s">
        <v>132</v>
      </c>
      <c r="B161" s="94"/>
      <c r="C161" s="92">
        <v>180</v>
      </c>
      <c r="D161" s="96" t="s">
        <v>133</v>
      </c>
      <c r="E161" s="126">
        <f>ENPV</f>
        <v>28387.198543463666</v>
      </c>
      <c r="F161" s="134">
        <v>25408.080000000002</v>
      </c>
      <c r="G161" s="134">
        <v>31366.32</v>
      </c>
      <c r="H161" s="136">
        <v>0.2</v>
      </c>
      <c r="I161" s="138">
        <f t="shared" ref="I161:I174" si="0">(G161-F161)/(H161*E161)</f>
        <v>1.0494589649058415</v>
      </c>
      <c r="J161" s="92" t="str">
        <f t="shared" ref="J161:J174" si="1">IF(ABS(I161)&gt;=1,"High",
 IF(ABS(I161)&gt;=0.5,"Moderate",
 IF(ABS(I161)&gt;0,"Low","None")))</f>
        <v>High</v>
      </c>
      <c r="K161" s="123" t="s">
        <v>153</v>
      </c>
      <c r="L161" s="129"/>
      <c r="M161" s="129"/>
      <c r="N161" s="129"/>
      <c r="O161" s="129"/>
      <c r="P161" s="129"/>
      <c r="Q161" s="129"/>
      <c r="R161" s="129"/>
      <c r="S161" s="94"/>
    </row>
    <row r="162" spans="1:19" x14ac:dyDescent="0.35">
      <c r="A162" s="123" t="s">
        <v>81</v>
      </c>
      <c r="B162" s="94"/>
      <c r="C162" s="126">
        <v>14833.65</v>
      </c>
      <c r="D162" s="96" t="s">
        <v>134</v>
      </c>
      <c r="E162" s="126">
        <f>ENPV</f>
        <v>28387.198543463666</v>
      </c>
      <c r="F162" s="134">
        <v>25873.35</v>
      </c>
      <c r="G162" s="134">
        <v>30901.05</v>
      </c>
      <c r="H162" s="136">
        <v>0.3</v>
      </c>
      <c r="I162" s="138">
        <f t="shared" si="0"/>
        <v>0.59037174712186835</v>
      </c>
      <c r="J162" s="92" t="str">
        <f t="shared" si="1"/>
        <v>Moderate</v>
      </c>
      <c r="K162" s="123" t="s">
        <v>154</v>
      </c>
      <c r="L162" s="129"/>
      <c r="M162" s="129"/>
      <c r="N162" s="129"/>
      <c r="O162" s="129"/>
      <c r="P162" s="129"/>
      <c r="Q162" s="129"/>
      <c r="R162" s="129"/>
      <c r="S162" s="94"/>
    </row>
    <row r="163" spans="1:19" x14ac:dyDescent="0.35">
      <c r="A163" s="123" t="s">
        <v>135</v>
      </c>
      <c r="B163" s="94"/>
      <c r="C163" s="93">
        <v>0.09</v>
      </c>
      <c r="D163" s="96" t="s">
        <v>136</v>
      </c>
      <c r="E163" s="126">
        <f>ENPV</f>
        <v>28387.198543463666</v>
      </c>
      <c r="F163" s="134">
        <v>23107.78</v>
      </c>
      <c r="G163" s="134">
        <v>35002.86</v>
      </c>
      <c r="H163" s="136">
        <f>4/9</f>
        <v>0.44444444444444442</v>
      </c>
      <c r="I163" s="138">
        <f t="shared" si="0"/>
        <v>0.9428168813143617</v>
      </c>
      <c r="J163" s="92" t="str">
        <f t="shared" si="1"/>
        <v>Moderate</v>
      </c>
      <c r="K163" s="123" t="s">
        <v>155</v>
      </c>
      <c r="L163" s="129"/>
      <c r="M163" s="129"/>
      <c r="N163" s="129"/>
      <c r="O163" s="129"/>
      <c r="P163" s="129"/>
      <c r="Q163" s="129"/>
      <c r="R163" s="129"/>
      <c r="S163" s="94"/>
    </row>
    <row r="164" spans="1:19" x14ac:dyDescent="0.35">
      <c r="A164" s="123" t="s">
        <v>91</v>
      </c>
      <c r="B164" s="94"/>
      <c r="C164" s="127">
        <v>10000</v>
      </c>
      <c r="D164" s="96" t="s">
        <v>137</v>
      </c>
      <c r="E164" s="126">
        <f>ENPV</f>
        <v>28387.198543463666</v>
      </c>
      <c r="F164" s="134">
        <v>21651.15</v>
      </c>
      <c r="G164" s="134">
        <v>35123.24</v>
      </c>
      <c r="H164" s="136">
        <v>1</v>
      </c>
      <c r="I164" s="138">
        <f t="shared" si="0"/>
        <v>0.4745832872297302</v>
      </c>
      <c r="J164" s="92" t="str">
        <f t="shared" si="1"/>
        <v>Low</v>
      </c>
      <c r="K164" s="123" t="s">
        <v>156</v>
      </c>
      <c r="L164" s="129"/>
      <c r="M164" s="129"/>
      <c r="N164" s="129"/>
      <c r="O164" s="129"/>
      <c r="P164" s="129"/>
      <c r="Q164" s="129"/>
      <c r="R164" s="129"/>
      <c r="S164" s="94"/>
    </row>
    <row r="165" spans="1:19" x14ac:dyDescent="0.35">
      <c r="A165" s="123" t="s">
        <v>12</v>
      </c>
      <c r="B165" s="94"/>
      <c r="C165" s="92">
        <v>0.9</v>
      </c>
      <c r="D165" s="96" t="s">
        <v>138</v>
      </c>
      <c r="E165" s="126">
        <f>ENPV</f>
        <v>28387.198543463666</v>
      </c>
      <c r="F165" s="134">
        <v>28115.88</v>
      </c>
      <c r="G165" s="134">
        <v>28658.52</v>
      </c>
      <c r="H165" s="136">
        <f>1/9</f>
        <v>0.1111111111111111</v>
      </c>
      <c r="I165" s="138">
        <f t="shared" si="0"/>
        <v>0.17204092867855436</v>
      </c>
      <c r="J165" s="92" t="str">
        <f t="shared" si="1"/>
        <v>Low</v>
      </c>
      <c r="K165" s="123" t="s">
        <v>157</v>
      </c>
      <c r="L165" s="129"/>
      <c r="M165" s="129"/>
      <c r="N165" s="129"/>
      <c r="O165" s="129"/>
      <c r="P165" s="129"/>
      <c r="Q165" s="129"/>
      <c r="R165" s="129"/>
      <c r="S165" s="94"/>
    </row>
    <row r="166" spans="1:19" x14ac:dyDescent="0.35">
      <c r="A166" s="123" t="s">
        <v>13</v>
      </c>
      <c r="B166" s="94"/>
      <c r="C166" s="92">
        <v>0.8</v>
      </c>
      <c r="D166" s="96" t="s">
        <v>139</v>
      </c>
      <c r="E166" s="126">
        <f>ENPV</f>
        <v>28387.198543463666</v>
      </c>
      <c r="F166" s="134">
        <v>27973.360000000001</v>
      </c>
      <c r="G166" s="134">
        <v>28594.12</v>
      </c>
      <c r="H166" s="136">
        <f>3/8</f>
        <v>0.375</v>
      </c>
      <c r="I166" s="138">
        <f t="shared" si="0"/>
        <v>5.8313609124390077E-2</v>
      </c>
      <c r="J166" s="92" t="str">
        <f t="shared" si="1"/>
        <v>Low</v>
      </c>
      <c r="K166" s="123" t="s">
        <v>158</v>
      </c>
      <c r="L166" s="129"/>
      <c r="M166" s="129"/>
      <c r="N166" s="129"/>
      <c r="O166" s="129"/>
      <c r="P166" s="129"/>
      <c r="Q166" s="129"/>
      <c r="R166" s="129"/>
      <c r="S166" s="94"/>
    </row>
    <row r="167" spans="1:19" x14ac:dyDescent="0.35">
      <c r="A167" s="123" t="s">
        <v>14</v>
      </c>
      <c r="B167" s="94"/>
      <c r="C167" s="92">
        <v>1.1000000000000001</v>
      </c>
      <c r="D167" s="96" t="s">
        <v>140</v>
      </c>
      <c r="E167" s="126">
        <f>ENPV</f>
        <v>28387.198543463666</v>
      </c>
      <c r="F167" s="134">
        <v>27458.12</v>
      </c>
      <c r="G167" s="134">
        <v>29316.27</v>
      </c>
      <c r="H167" s="136">
        <f>2/11</f>
        <v>0.18181818181818182</v>
      </c>
      <c r="I167" s="138">
        <f t="shared" si="0"/>
        <v>0.36001527182586979</v>
      </c>
      <c r="J167" s="92" t="str">
        <f t="shared" si="1"/>
        <v>Low</v>
      </c>
      <c r="K167" s="123" t="s">
        <v>159</v>
      </c>
      <c r="L167" s="129"/>
      <c r="M167" s="129"/>
      <c r="N167" s="129"/>
      <c r="O167" s="129"/>
      <c r="P167" s="129"/>
      <c r="Q167" s="129"/>
      <c r="R167" s="129"/>
      <c r="S167" s="94"/>
    </row>
    <row r="168" spans="1:19" x14ac:dyDescent="0.35">
      <c r="A168" s="123" t="s">
        <v>141</v>
      </c>
      <c r="B168" s="94"/>
      <c r="C168" s="93">
        <v>0.01</v>
      </c>
      <c r="D168" s="96" t="s">
        <v>131</v>
      </c>
      <c r="E168" s="126">
        <f>ENPV</f>
        <v>28387.198543463666</v>
      </c>
      <c r="F168" s="134">
        <v>28031.8</v>
      </c>
      <c r="G168" s="134">
        <v>28422.74</v>
      </c>
      <c r="H168" s="136">
        <v>0.4</v>
      </c>
      <c r="I168" s="138">
        <f t="shared" si="0"/>
        <v>3.4429251569279874E-2</v>
      </c>
      <c r="J168" s="92" t="str">
        <f t="shared" si="1"/>
        <v>Low</v>
      </c>
      <c r="K168" s="123" t="s">
        <v>160</v>
      </c>
      <c r="L168" s="129"/>
      <c r="M168" s="129"/>
      <c r="N168" s="129"/>
      <c r="O168" s="129"/>
      <c r="P168" s="129"/>
      <c r="Q168" s="129"/>
      <c r="R168" s="129"/>
      <c r="S168" s="94"/>
    </row>
    <row r="169" spans="1:19" x14ac:dyDescent="0.35">
      <c r="A169" s="123" t="s">
        <v>142</v>
      </c>
      <c r="B169" s="94"/>
      <c r="C169" s="93">
        <v>0.05</v>
      </c>
      <c r="D169" s="96" t="s">
        <v>143</v>
      </c>
      <c r="E169" s="126">
        <f>ENPV</f>
        <v>28387.198543463666</v>
      </c>
      <c r="F169" s="134">
        <v>28075.08</v>
      </c>
      <c r="G169" s="134">
        <v>28639.439999999999</v>
      </c>
      <c r="H169" s="136">
        <f>4/5</f>
        <v>0.8</v>
      </c>
      <c r="I169" s="138">
        <f t="shared" si="0"/>
        <v>2.4850990453315812E-2</v>
      </c>
      <c r="J169" s="92" t="str">
        <f t="shared" si="1"/>
        <v>Low</v>
      </c>
      <c r="K169" s="123" t="s">
        <v>161</v>
      </c>
      <c r="L169" s="129"/>
      <c r="M169" s="129"/>
      <c r="N169" s="129"/>
      <c r="O169" s="129"/>
      <c r="P169" s="129"/>
      <c r="Q169" s="129"/>
      <c r="R169" s="129"/>
      <c r="S169" s="94"/>
    </row>
    <row r="170" spans="1:19" x14ac:dyDescent="0.35">
      <c r="A170" s="123" t="s">
        <v>144</v>
      </c>
      <c r="B170" s="94"/>
      <c r="C170" s="127">
        <v>1000</v>
      </c>
      <c r="D170" s="96" t="s">
        <v>131</v>
      </c>
      <c r="E170" s="126">
        <f>ENPV</f>
        <v>28387.198543463666</v>
      </c>
      <c r="F170" s="134">
        <v>28187.200000000001</v>
      </c>
      <c r="G170" s="134">
        <v>28587.200000000001</v>
      </c>
      <c r="H170" s="136">
        <v>0.4</v>
      </c>
      <c r="I170" s="138">
        <f t="shared" si="0"/>
        <v>3.5227146436056345E-2</v>
      </c>
      <c r="J170" s="92" t="str">
        <f t="shared" si="1"/>
        <v>Low</v>
      </c>
      <c r="K170" s="123" t="s">
        <v>162</v>
      </c>
      <c r="L170" s="129"/>
      <c r="M170" s="129"/>
      <c r="N170" s="129"/>
      <c r="O170" s="129"/>
      <c r="P170" s="129"/>
      <c r="Q170" s="129"/>
      <c r="R170" s="129"/>
      <c r="S170" s="94"/>
    </row>
    <row r="171" spans="1:19" x14ac:dyDescent="0.35">
      <c r="A171" s="123" t="s">
        <v>145</v>
      </c>
      <c r="B171" s="94"/>
      <c r="C171" s="92">
        <v>100</v>
      </c>
      <c r="D171" s="96" t="s">
        <v>131</v>
      </c>
      <c r="E171" s="126">
        <f>ENPV</f>
        <v>28387.198543463666</v>
      </c>
      <c r="F171" s="134">
        <v>28204.63</v>
      </c>
      <c r="G171" s="134">
        <v>28569.77</v>
      </c>
      <c r="H171" s="136">
        <v>0.4</v>
      </c>
      <c r="I171" s="138">
        <f t="shared" si="0"/>
        <v>3.2157100624153979E-2</v>
      </c>
      <c r="J171" s="92" t="str">
        <f t="shared" si="1"/>
        <v>Low</v>
      </c>
      <c r="K171" s="123" t="s">
        <v>163</v>
      </c>
      <c r="L171" s="129"/>
      <c r="M171" s="129"/>
      <c r="N171" s="129"/>
      <c r="O171" s="129"/>
      <c r="P171" s="129"/>
      <c r="Q171" s="129"/>
      <c r="R171" s="129"/>
      <c r="S171" s="94"/>
    </row>
    <row r="172" spans="1:19" x14ac:dyDescent="0.35">
      <c r="A172" s="123" t="s">
        <v>146</v>
      </c>
      <c r="B172" s="94"/>
      <c r="C172" s="92">
        <v>1</v>
      </c>
      <c r="D172" s="96" t="s">
        <v>131</v>
      </c>
      <c r="E172" s="126">
        <f>ENPV</f>
        <v>28387.198543463666</v>
      </c>
      <c r="F172" s="134">
        <v>28004.63</v>
      </c>
      <c r="G172" s="134">
        <v>28769.77</v>
      </c>
      <c r="H172" s="136">
        <v>0.4</v>
      </c>
      <c r="I172" s="138">
        <f t="shared" si="0"/>
        <v>6.7384247060210331E-2</v>
      </c>
      <c r="J172" s="92" t="str">
        <f t="shared" si="1"/>
        <v>Low</v>
      </c>
      <c r="K172" s="123" t="s">
        <v>164</v>
      </c>
      <c r="L172" s="129"/>
      <c r="M172" s="129"/>
      <c r="N172" s="129"/>
      <c r="O172" s="129"/>
      <c r="P172" s="129"/>
      <c r="Q172" s="129"/>
      <c r="R172" s="129"/>
      <c r="S172" s="94"/>
    </row>
    <row r="173" spans="1:19" x14ac:dyDescent="0.35">
      <c r="A173" s="123" t="s">
        <v>147</v>
      </c>
      <c r="B173" s="94"/>
      <c r="C173" s="92">
        <v>15</v>
      </c>
      <c r="D173" s="96" t="s">
        <v>137</v>
      </c>
      <c r="E173" s="126">
        <f>ENPV</f>
        <v>28387.198543463666</v>
      </c>
      <c r="F173" s="134">
        <v>28387.200000000001</v>
      </c>
      <c r="G173" s="134">
        <v>28387.200000000001</v>
      </c>
      <c r="H173" s="136">
        <v>1</v>
      </c>
      <c r="I173" s="138">
        <f t="shared" si="0"/>
        <v>0</v>
      </c>
      <c r="J173" s="92" t="str">
        <f t="shared" si="1"/>
        <v>None</v>
      </c>
      <c r="K173" s="123" t="s">
        <v>165</v>
      </c>
      <c r="L173" s="129"/>
      <c r="M173" s="129"/>
      <c r="N173" s="129"/>
      <c r="O173" s="129"/>
      <c r="P173" s="129"/>
      <c r="Q173" s="129"/>
      <c r="R173" s="129"/>
      <c r="S173" s="94"/>
    </row>
    <row r="174" spans="1:19" ht="15" thickBot="1" x14ac:dyDescent="0.4">
      <c r="A174" s="124" t="s">
        <v>148</v>
      </c>
      <c r="B174" s="125"/>
      <c r="C174" s="27">
        <v>30</v>
      </c>
      <c r="D174" s="133" t="s">
        <v>137</v>
      </c>
      <c r="E174" s="128">
        <f>ENPV</f>
        <v>28387.198543463666</v>
      </c>
      <c r="F174" s="135">
        <v>28372.2</v>
      </c>
      <c r="G174" s="135">
        <v>28402.2</v>
      </c>
      <c r="H174" s="137">
        <v>1</v>
      </c>
      <c r="I174" s="139">
        <f t="shared" si="0"/>
        <v>1.0568143930816903E-3</v>
      </c>
      <c r="J174" s="27" t="str">
        <f t="shared" si="1"/>
        <v>Low</v>
      </c>
      <c r="K174" s="124" t="s">
        <v>166</v>
      </c>
      <c r="L174" s="130"/>
      <c r="M174" s="130"/>
      <c r="N174" s="130"/>
      <c r="O174" s="130"/>
      <c r="P174" s="130"/>
      <c r="Q174" s="130"/>
      <c r="R174" s="130"/>
      <c r="S174" s="125"/>
    </row>
  </sheetData>
  <mergeCells count="16">
    <mergeCell ref="A8:B8"/>
    <mergeCell ref="A7:B7"/>
    <mergeCell ref="A6:B6"/>
    <mergeCell ref="A5:B5"/>
    <mergeCell ref="A18:B18"/>
    <mergeCell ref="A11:B11"/>
    <mergeCell ref="A10:B10"/>
    <mergeCell ref="A9:B9"/>
    <mergeCell ref="A1:F1"/>
    <mergeCell ref="A19:B19"/>
    <mergeCell ref="A17:B17"/>
    <mergeCell ref="A16:B16"/>
    <mergeCell ref="A15:B15"/>
    <mergeCell ref="A14:B14"/>
    <mergeCell ref="A13:B13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25</vt:i4>
      </vt:variant>
    </vt:vector>
  </HeadingPairs>
  <TitlesOfParts>
    <vt:vector size="27" baseType="lpstr">
      <vt:lpstr>EBCA</vt:lpstr>
      <vt:lpstr>Sensitivity_Analysis</vt:lpstr>
      <vt:lpstr>AvoidFuelCost</vt:lpstr>
      <vt:lpstr>CapitalCost</vt:lpstr>
      <vt:lpstr>CO2Avoided</vt:lpstr>
      <vt:lpstr>DiscountedEPBP</vt:lpstr>
      <vt:lpstr>DiscountRate</vt:lpstr>
      <vt:lpstr>EBCR</vt:lpstr>
      <vt:lpstr>EfficiencyDerate</vt:lpstr>
      <vt:lpstr>EIRR</vt:lpstr>
      <vt:lpstr>EmpIncomePerJob</vt:lpstr>
      <vt:lpstr>EmpJobsAfteryr0</vt:lpstr>
      <vt:lpstr>EmpJobsForyr0</vt:lpstr>
      <vt:lpstr>ENPV</vt:lpstr>
      <vt:lpstr>EnvBenifit</vt:lpstr>
      <vt:lpstr>EnvImpactCostyr0</vt:lpstr>
      <vt:lpstr>Generation</vt:lpstr>
      <vt:lpstr>LossOfRoyaltyRevenue</vt:lpstr>
      <vt:lpstr>ModuleDegradation</vt:lpstr>
      <vt:lpstr>OandMescalation</vt:lpstr>
      <vt:lpstr>OandMyr1</vt:lpstr>
      <vt:lpstr>ShadowExchRateFact</vt:lpstr>
      <vt:lpstr>ShadWageRateFac</vt:lpstr>
      <vt:lpstr>SimpleEPBP</vt:lpstr>
      <vt:lpstr>SocialCostOfCarbon</vt:lpstr>
      <vt:lpstr>StandConvFact</vt:lpstr>
      <vt:lpstr>Tariff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H.P.Sandun Premakumara</cp:lastModifiedBy>
  <dcterms:created xsi:type="dcterms:W3CDTF">2025-10-04T15:32:28Z</dcterms:created>
  <dcterms:modified xsi:type="dcterms:W3CDTF">2025-10-06T05:54:45Z</dcterms:modified>
</cp:coreProperties>
</file>
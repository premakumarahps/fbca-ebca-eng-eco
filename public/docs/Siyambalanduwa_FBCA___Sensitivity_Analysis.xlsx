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a\Desktop\Our group project\"/>
    </mc:Choice>
  </mc:AlternateContent>
  <xr:revisionPtr revIDLastSave="0" documentId="13_ncr:1_{F6EBC144-C45A-419A-86AC-B58D5230E510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FBCA" sheetId="1" r:id="rId1"/>
    <sheet name="Sensitivity_Analysis" sheetId="3" r:id="rId2"/>
  </sheets>
  <definedNames>
    <definedName name="CapitalCost">FBCA!$B$10</definedName>
    <definedName name="DiscountedPBP">FBCA!$C$57</definedName>
    <definedName name="DiscountRate">FBCA!$B$9</definedName>
    <definedName name="EfficiencyDerate">FBCA!$B$12</definedName>
    <definedName name="FBCR">FBCA!$C$55</definedName>
    <definedName name="FIRR">FBCA!$C$56</definedName>
    <definedName name="FNPV">FBCA!$C$54</definedName>
    <definedName name="Generation">FBCA!$B$11</definedName>
    <definedName name="ModuleDegradation">FBCA!$B$14</definedName>
    <definedName name="OandMescalation">FBCA!$B$16</definedName>
    <definedName name="OandMyr0">FBCA!$B$15</definedName>
    <definedName name="ProjectDuration">FBCA!$B$6</definedName>
    <definedName name="Tariff">FBCA!$B$13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3" l="1"/>
  <c r="C86" i="3"/>
  <c r="C87" i="3"/>
  <c r="C88" i="3"/>
  <c r="C89" i="3"/>
  <c r="C84" i="3"/>
  <c r="B62" i="3"/>
  <c r="B63" i="3"/>
  <c r="B61" i="3"/>
  <c r="B16" i="1"/>
  <c r="B15" i="1"/>
  <c r="B13" i="1"/>
  <c r="B16" i="3" s="1"/>
  <c r="B11" i="1"/>
  <c r="B10" i="1"/>
  <c r="B30" i="3" s="1"/>
  <c r="B9" i="1"/>
  <c r="B31" i="3" l="1"/>
  <c r="B29" i="3"/>
  <c r="B15" i="3"/>
  <c r="B17" i="3"/>
  <c r="I22" i="1"/>
  <c r="I23" i="1" s="1"/>
  <c r="I33" i="1" s="1"/>
  <c r="C33" i="1"/>
  <c r="E26" i="1"/>
  <c r="E27" i="1" s="1"/>
  <c r="E34" i="1" s="1"/>
  <c r="F26" i="1"/>
  <c r="G26" i="1"/>
  <c r="G27" i="1" s="1"/>
  <c r="G34" i="1" s="1"/>
  <c r="H26" i="1"/>
  <c r="H27" i="1" s="1"/>
  <c r="H34" i="1" s="1"/>
  <c r="I26" i="1"/>
  <c r="I27" i="1" s="1"/>
  <c r="I34" i="1" s="1"/>
  <c r="J26" i="1"/>
  <c r="J27" i="1" s="1"/>
  <c r="J34" i="1" s="1"/>
  <c r="K26" i="1"/>
  <c r="K27" i="1" s="1"/>
  <c r="K34" i="1" s="1"/>
  <c r="L26" i="1"/>
  <c r="L27" i="1" s="1"/>
  <c r="L34" i="1" s="1"/>
  <c r="M26" i="1"/>
  <c r="M27" i="1" s="1"/>
  <c r="M34" i="1" s="1"/>
  <c r="N26" i="1"/>
  <c r="N27" i="1" s="1"/>
  <c r="N34" i="1" s="1"/>
  <c r="O26" i="1"/>
  <c r="O27" i="1" s="1"/>
  <c r="O34" i="1" s="1"/>
  <c r="P26" i="1"/>
  <c r="P27" i="1" s="1"/>
  <c r="P34" i="1" s="1"/>
  <c r="Q26" i="1"/>
  <c r="Q27" i="1" s="1"/>
  <c r="Q34" i="1" s="1"/>
  <c r="R26" i="1"/>
  <c r="R27" i="1" s="1"/>
  <c r="R34" i="1" s="1"/>
  <c r="S26" i="1"/>
  <c r="S27" i="1" s="1"/>
  <c r="S34" i="1" s="1"/>
  <c r="T26" i="1"/>
  <c r="T27" i="1" s="1"/>
  <c r="T34" i="1" s="1"/>
  <c r="U26" i="1"/>
  <c r="U27" i="1" s="1"/>
  <c r="U34" i="1" s="1"/>
  <c r="V26" i="1"/>
  <c r="V27" i="1" s="1"/>
  <c r="V34" i="1" s="1"/>
  <c r="W26" i="1"/>
  <c r="W27" i="1" s="1"/>
  <c r="W34" i="1" s="1"/>
  <c r="D26" i="1"/>
  <c r="D27" i="1" s="1"/>
  <c r="D34" i="1" s="1"/>
  <c r="C25" i="1"/>
  <c r="B25" i="1" s="1"/>
  <c r="E22" i="1"/>
  <c r="E23" i="1" s="1"/>
  <c r="E33" i="1" s="1"/>
  <c r="F22" i="1"/>
  <c r="F23" i="1" s="1"/>
  <c r="F33" i="1" s="1"/>
  <c r="G22" i="1"/>
  <c r="G23" i="1" s="1"/>
  <c r="G33" i="1" s="1"/>
  <c r="H22" i="1"/>
  <c r="H23" i="1" s="1"/>
  <c r="H33" i="1" s="1"/>
  <c r="M22" i="1"/>
  <c r="M23" i="1" s="1"/>
  <c r="M33" i="1" s="1"/>
  <c r="N22" i="1"/>
  <c r="N23" i="1" s="1"/>
  <c r="N33" i="1" s="1"/>
  <c r="O22" i="1"/>
  <c r="O23" i="1" s="1"/>
  <c r="O33" i="1" s="1"/>
  <c r="P22" i="1"/>
  <c r="P23" i="1" s="1"/>
  <c r="P33" i="1" s="1"/>
  <c r="Q22" i="1"/>
  <c r="Q23" i="1" s="1"/>
  <c r="Q33" i="1" s="1"/>
  <c r="T22" i="1"/>
  <c r="T23" i="1" s="1"/>
  <c r="T33" i="1" s="1"/>
  <c r="U22" i="1"/>
  <c r="U23" i="1" s="1"/>
  <c r="U33" i="1" s="1"/>
  <c r="V22" i="1"/>
  <c r="V23" i="1" s="1"/>
  <c r="V33" i="1" s="1"/>
  <c r="W22" i="1"/>
  <c r="W23" i="1" s="1"/>
  <c r="W33" i="1" s="1"/>
  <c r="D22" i="1"/>
  <c r="D23" i="1" s="1"/>
  <c r="D33" i="1" s="1"/>
  <c r="C23" i="1"/>
  <c r="L22" i="1" l="1"/>
  <c r="L23" i="1" s="1"/>
  <c r="L33" i="1" s="1"/>
  <c r="S22" i="1"/>
  <c r="S23" i="1" s="1"/>
  <c r="S33" i="1" s="1"/>
  <c r="K22" i="1"/>
  <c r="K23" i="1" s="1"/>
  <c r="K33" i="1" s="1"/>
  <c r="R22" i="1"/>
  <c r="R23" i="1" s="1"/>
  <c r="R33" i="1" s="1"/>
  <c r="J22" i="1"/>
  <c r="J23" i="1" s="1"/>
  <c r="J33" i="1" s="1"/>
  <c r="H29" i="1"/>
  <c r="H35" i="1" s="1"/>
  <c r="B26" i="1"/>
  <c r="C27" i="1"/>
  <c r="C34" i="1" s="1"/>
  <c r="E29" i="1"/>
  <c r="E35" i="1" s="1"/>
  <c r="M29" i="1"/>
  <c r="M35" i="1" s="1"/>
  <c r="U29" i="1"/>
  <c r="U35" i="1" s="1"/>
  <c r="N29" i="1"/>
  <c r="N35" i="1" s="1"/>
  <c r="D29" i="1"/>
  <c r="D35" i="1" s="1"/>
  <c r="T29" i="1"/>
  <c r="T35" i="1" s="1"/>
  <c r="P29" i="1"/>
  <c r="P35" i="1" s="1"/>
  <c r="I29" i="1"/>
  <c r="I35" i="1" s="1"/>
  <c r="Q29" i="1"/>
  <c r="Q35" i="1" s="1"/>
  <c r="F27" i="1"/>
  <c r="F34" i="1" s="1"/>
  <c r="V29" i="1"/>
  <c r="V35" i="1" s="1"/>
  <c r="G29" i="1"/>
  <c r="G35" i="1" s="1"/>
  <c r="O29" i="1"/>
  <c r="O35" i="1" s="1"/>
  <c r="W29" i="1"/>
  <c r="W35" i="1" s="1"/>
  <c r="J29" i="1" l="1"/>
  <c r="J35" i="1" s="1"/>
  <c r="L29" i="1"/>
  <c r="L35" i="1" s="1"/>
  <c r="B22" i="1"/>
  <c r="K29" i="1"/>
  <c r="K35" i="1" s="1"/>
  <c r="S29" i="1"/>
  <c r="S35" i="1" s="1"/>
  <c r="R29" i="1"/>
  <c r="R35" i="1" s="1"/>
  <c r="B23" i="1"/>
  <c r="C29" i="1"/>
  <c r="B27" i="1"/>
  <c r="F29" i="1"/>
  <c r="F35" i="1" s="1"/>
  <c r="C46" i="1" l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C35" i="1"/>
  <c r="C55" i="1"/>
  <c r="C56" i="1"/>
  <c r="B29" i="1"/>
  <c r="C75" i="3" l="1"/>
  <c r="E75" i="3"/>
  <c r="C52" i="3"/>
  <c r="C66" i="3"/>
  <c r="E52" i="3"/>
  <c r="E66" i="3"/>
  <c r="C34" i="3"/>
  <c r="C43" i="3"/>
  <c r="E34" i="3"/>
  <c r="E43" i="3"/>
  <c r="C20" i="3"/>
  <c r="E20" i="3"/>
  <c r="B47" i="1" a="1"/>
  <c r="B47" i="1" s="1"/>
  <c r="C36" i="1"/>
  <c r="C54" i="1"/>
  <c r="E88" i="3" l="1"/>
  <c r="F88" i="3" s="1"/>
  <c r="E89" i="3"/>
  <c r="F89" i="3" s="1"/>
  <c r="E86" i="3"/>
  <c r="F86" i="3" s="1"/>
  <c r="E87" i="3"/>
  <c r="F87" i="3" s="1"/>
  <c r="E84" i="3"/>
  <c r="F84" i="3" s="1"/>
  <c r="E85" i="3"/>
  <c r="F85" i="3" s="1"/>
  <c r="B75" i="3"/>
  <c r="B52" i="3"/>
  <c r="B66" i="3"/>
  <c r="B34" i="3"/>
  <c r="B43" i="3"/>
  <c r="B20" i="3"/>
  <c r="B49" i="1" a="1"/>
  <c r="B49" i="1" s="1"/>
  <c r="B48" i="1" a="1"/>
  <c r="B48" i="1" s="1"/>
  <c r="D36" i="1"/>
  <c r="C40" i="1"/>
  <c r="B50" i="1" l="1"/>
  <c r="C58" i="1" s="1"/>
  <c r="E36" i="1"/>
  <c r="D40" i="1"/>
  <c r="F36" i="1" l="1"/>
  <c r="E40" i="1"/>
  <c r="G36" i="1" l="1"/>
  <c r="F40" i="1"/>
  <c r="H36" i="1" l="1"/>
  <c r="G40" i="1"/>
  <c r="I36" i="1" l="1"/>
  <c r="H40" i="1"/>
  <c r="J36" i="1" l="1"/>
  <c r="I40" i="1"/>
  <c r="K36" i="1" l="1"/>
  <c r="J40" i="1"/>
  <c r="L36" i="1" l="1"/>
  <c r="K40" i="1"/>
  <c r="M36" i="1" l="1"/>
  <c r="L40" i="1"/>
  <c r="N36" i="1" l="1"/>
  <c r="M40" i="1"/>
  <c r="O36" i="1" l="1"/>
  <c r="N40" i="1"/>
  <c r="P36" i="1" l="1"/>
  <c r="O40" i="1"/>
  <c r="Q36" i="1" l="1"/>
  <c r="P40" i="1"/>
  <c r="R36" i="1" l="1"/>
  <c r="Q40" i="1"/>
  <c r="S36" i="1" l="1"/>
  <c r="R40" i="1"/>
  <c r="T36" i="1" l="1"/>
  <c r="S40" i="1"/>
  <c r="U36" i="1" l="1"/>
  <c r="T40" i="1"/>
  <c r="V36" i="1" l="1"/>
  <c r="U40" i="1"/>
  <c r="W36" i="1" l="1"/>
  <c r="W40" i="1" s="1"/>
  <c r="V40" i="1"/>
  <c r="B41" i="1" l="1" a="1"/>
  <c r="B41" i="1" s="1"/>
  <c r="B43" i="1" l="1" a="1"/>
  <c r="B43" i="1" s="1"/>
  <c r="B42" i="1" a="1"/>
  <c r="B42" i="1" s="1"/>
  <c r="B44" i="1" l="1"/>
  <c r="C57" i="1" s="1"/>
  <c r="D75" i="3" l="1"/>
  <c r="D52" i="3"/>
  <c r="D66" i="3"/>
  <c r="D34" i="3"/>
  <c r="D43" i="3"/>
  <c r="D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<sst xmlns="http://schemas.openxmlformats.org/spreadsheetml/2006/main" count="127" uniqueCount="87">
  <si>
    <t>Parameters</t>
  </si>
  <si>
    <t>Discount rate (r)</t>
  </si>
  <si>
    <t>Total CapEx (LKR mn)</t>
  </si>
  <si>
    <t>Tariff (LKR/kWh)</t>
  </si>
  <si>
    <t>Module degradation (per year)</t>
  </si>
  <si>
    <t>O&amp;M escalation per year</t>
  </si>
  <si>
    <t>Year</t>
  </si>
  <si>
    <t>Total</t>
  </si>
  <si>
    <t>Tariff revenue</t>
  </si>
  <si>
    <t>Capital costs</t>
  </si>
  <si>
    <t>O&amp;M costs</t>
  </si>
  <si>
    <t>Assumptions</t>
  </si>
  <si>
    <t>Project duration (years)</t>
  </si>
  <si>
    <t>Discounted Payback Period (years)</t>
  </si>
  <si>
    <t>Simple Payback Period (years)</t>
  </si>
  <si>
    <t>Cumulative Net (undiscounted)</t>
  </si>
  <si>
    <t>FIRR</t>
  </si>
  <si>
    <t xml:space="preserve">PV of Benefits </t>
  </si>
  <si>
    <t xml:space="preserve">PV of Costs </t>
  </si>
  <si>
    <t xml:space="preserve">Cumulative PV Net </t>
  </si>
  <si>
    <t xml:space="preserve">PBP Index </t>
  </si>
  <si>
    <t xml:space="preserve">Simple PBP Index </t>
  </si>
  <si>
    <t>TOTAL FINANCIAL BENEFIT</t>
  </si>
  <si>
    <t>TOTAL FINANCIAL COSTS</t>
  </si>
  <si>
    <t>Net Financial Benefit</t>
  </si>
  <si>
    <t>Financial Benefit</t>
  </si>
  <si>
    <t>Financial costs</t>
  </si>
  <si>
    <t xml:space="preserve">Financial Benefit - Cost Analysis (FBCA) – Siyambalanduwa 100 MW Solar </t>
  </si>
  <si>
    <t>PV of Net Benefits (LKR mn)</t>
  </si>
  <si>
    <t>Efficiency derate (Performance Ratio)</t>
  </si>
  <si>
    <t>1. Assumptions &amp; Parameters</t>
  </si>
  <si>
    <t>2. Cash Flow Analysis</t>
  </si>
  <si>
    <t>3.Present Value Calculations</t>
  </si>
  <si>
    <t>5.Results Summary</t>
  </si>
  <si>
    <t>4.Supporting Payback Calculations</t>
  </si>
  <si>
    <t>Cumulative PV Net (discounted)</t>
  </si>
  <si>
    <t>Last Negative Year</t>
  </si>
  <si>
    <t>Next Year Net Benefit</t>
  </si>
  <si>
    <t>Deficit at Last Negative Year</t>
  </si>
  <si>
    <t>O&amp;M % of CapEx for year 0</t>
  </si>
  <si>
    <t>Generation (GWh)</t>
  </si>
  <si>
    <t>FIRR (%)</t>
  </si>
  <si>
    <t>FNPV (LKR mn)</t>
  </si>
  <si>
    <t>FBCR</t>
  </si>
  <si>
    <t xml:space="preserve">Financial Sensitivity Analysis – Siyambalanduwa 100 MW Solar </t>
  </si>
  <si>
    <t>(b) Capital Cost Sensitivity</t>
  </si>
  <si>
    <t>(c) O&amp;M Cost Sensitivity</t>
  </si>
  <si>
    <t>180 (Base)</t>
  </si>
  <si>
    <t>Discount Rate (%)</t>
  </si>
  <si>
    <t>9 (Base)</t>
  </si>
  <si>
    <t xml:space="preserve">Base Case Inputs (Linked to Financial BCA Model) </t>
  </si>
  <si>
    <t>Capital Cost (LKR Mn)</t>
  </si>
  <si>
    <t>Annual generation (GWh) for yr1</t>
  </si>
  <si>
    <t>14(Base)</t>
  </si>
  <si>
    <t>(a) Tariff Sensitivity</t>
  </si>
  <si>
    <t>14833.652(Base)</t>
  </si>
  <si>
    <t>ΔCapEx</t>
  </si>
  <si>
    <t>CapEx (LKR Mn)</t>
  </si>
  <si>
    <t>O&amp;M % of CapEx</t>
  </si>
  <si>
    <t>1% (Base)</t>
  </si>
  <si>
    <t>3% (Base)</t>
  </si>
  <si>
    <t>O&amp;M escalation</t>
  </si>
  <si>
    <t>(d) O&amp;M Escalation Sensitivity</t>
  </si>
  <si>
    <t>(e) Generation Sensitivity</t>
  </si>
  <si>
    <t>ΔGeneration%</t>
  </si>
  <si>
    <t>(f) Discount Rate Sensitivity</t>
  </si>
  <si>
    <t>Test deltas</t>
  </si>
  <si>
    <t>Sensitivity Summary</t>
  </si>
  <si>
    <t>Parameter</t>
  </si>
  <si>
    <t>Base Value</t>
  </si>
  <si>
    <t>Range Tested</t>
  </si>
  <si>
    <t>Sensitivity Index (E)</t>
  </si>
  <si>
    <t>Sensitivity Level</t>
  </si>
  <si>
    <t>Remark</t>
  </si>
  <si>
    <t>±10%</t>
  </si>
  <si>
    <t>±15%</t>
  </si>
  <si>
    <t>±20%</t>
  </si>
  <si>
    <t>±2% pts</t>
  </si>
  <si>
    <t>2–5%</t>
  </si>
  <si>
    <t>Reflects financing cost risk; securing low-interest financing or concessional loans is critical.</t>
  </si>
  <si>
    <t>Energy yield directly affects revenue; ensure reliable irradiation data and performance guarantees.</t>
  </si>
  <si>
    <t>Long-term inflation-linked risk; can be mitigated with fixed-rate service agreements.</t>
  </si>
  <si>
    <t>Minor influence on total cashflows; manageable through efficient maintenance contracts.</t>
  </si>
  <si>
    <t>Cost overruns significantly reduce profitability; strict cost control is essential.</t>
  </si>
  <si>
    <t>Project viability strongly depends on tariff rate; even small tariff reduction causes major NPV loss.</t>
  </si>
  <si>
    <t>FNPV (LKR M)</t>
  </si>
  <si>
    <t>FPBP (yrs)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</si>
</sst>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1">
    <xf numFmtId="0" fontId="0" fillId="0" borderId="0" xfId="0"/>
    <xf numFmtId="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/>
    <xf numFmtId="10" fontId="0" fillId="2" borderId="1" xfId="0" applyNumberFormat="1" applyFill="1" applyBorder="1"/>
    <xf numFmtId="0" fontId="0" fillId="2" borderId="1" xfId="0" applyFill="1" applyBorder="1"/>
    <xf numFmtId="4" fontId="0" fillId="0" borderId="0" xfId="0" applyNumberFormat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0" fontId="0" fillId="0" borderId="6" xfId="0" applyNumberFormat="1" applyBorder="1"/>
    <xf numFmtId="4" fontId="0" fillId="0" borderId="6" xfId="0" applyNumberFormat="1" applyBorder="1"/>
    <xf numFmtId="10" fontId="0" fillId="0" borderId="7" xfId="0" applyNumberFormat="1" applyBorder="1"/>
    <xf numFmtId="0" fontId="0" fillId="0" borderId="1" xfId="0" applyBorder="1" applyAlignment="1">
      <alignment horizontal="left"/>
    </xf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4" fontId="0" fillId="0" borderId="15" xfId="0" applyNumberFormat="1" applyBorder="1"/>
    <xf numFmtId="0" fontId="0" fillId="3" borderId="16" xfId="0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2" fillId="6" borderId="9" xfId="0" applyFont="1" applyFill="1" applyBorder="1"/>
    <xf numFmtId="0" fontId="0" fillId="6" borderId="25" xfId="0" applyFill="1" applyBorder="1"/>
    <xf numFmtId="0" fontId="2" fillId="6" borderId="26" xfId="0" applyFont="1" applyFill="1" applyBorder="1"/>
    <xf numFmtId="0" fontId="0" fillId="5" borderId="16" xfId="0" applyFill="1" applyBorder="1"/>
    <xf numFmtId="0" fontId="2" fillId="5" borderId="17" xfId="0" applyFont="1" applyFill="1" applyBorder="1"/>
    <xf numFmtId="0" fontId="2" fillId="5" borderId="18" xfId="0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0" fontId="2" fillId="2" borderId="9" xfId="0" applyFont="1" applyFill="1" applyBorder="1"/>
    <xf numFmtId="4" fontId="0" fillId="0" borderId="8" xfId="0" applyNumberFormat="1" applyBorder="1"/>
    <xf numFmtId="0" fontId="0" fillId="0" borderId="29" xfId="0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4" fontId="0" fillId="4" borderId="8" xfId="0" applyNumberFormat="1" applyFill="1" applyBorder="1"/>
    <xf numFmtId="0" fontId="0" fillId="3" borderId="11" xfId="0" applyFill="1" applyBorder="1"/>
    <xf numFmtId="4" fontId="0" fillId="3" borderId="27" xfId="0" applyNumberFormat="1" applyFill="1" applyBorder="1"/>
    <xf numFmtId="0" fontId="0" fillId="0" borderId="9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28" xfId="0" applyBorder="1"/>
    <xf numFmtId="0" fontId="0" fillId="0" borderId="33" xfId="0" applyBorder="1"/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0" xfId="0" applyFont="1"/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2" fillId="0" borderId="0" xfId="0" applyFont="1"/>
    <xf numFmtId="9" fontId="0" fillId="0" borderId="0" xfId="0" applyNumberFormat="1" applyAlignment="1">
      <alignment horizontal="right" vertical="center"/>
    </xf>
    <xf numFmtId="9" fontId="0" fillId="0" borderId="0" xfId="0" applyNumberFormat="1"/>
    <xf numFmtId="10" fontId="0" fillId="0" borderId="0" xfId="1" applyNumberFormat="1" applyFont="1"/>
    <xf numFmtId="0" fontId="2" fillId="8" borderId="0" xfId="0" applyFont="1" applyFill="1"/>
    <xf numFmtId="0" fontId="1" fillId="8" borderId="0" xfId="0" applyFont="1" applyFill="1"/>
    <xf numFmtId="4" fontId="0" fillId="0" borderId="36" xfId="0" applyNumberFormat="1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10" fontId="0" fillId="0" borderId="37" xfId="0" applyNumberFormat="1" applyBorder="1" applyAlignment="1">
      <alignment horizontal="right" vertical="center"/>
    </xf>
    <xf numFmtId="10" fontId="0" fillId="0" borderId="38" xfId="0" applyNumberFormat="1" applyBorder="1" applyAlignment="1">
      <alignment horizontal="right" vertical="center"/>
    </xf>
    <xf numFmtId="9" fontId="0" fillId="0" borderId="12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2" xfId="0" applyBorder="1"/>
    <xf numFmtId="0" fontId="0" fillId="0" borderId="8" xfId="0" applyBorder="1"/>
    <xf numFmtId="0" fontId="0" fillId="0" borderId="39" xfId="0" applyBorder="1"/>
    <xf numFmtId="0" fontId="0" fillId="0" borderId="37" xfId="0" applyBorder="1" applyAlignment="1">
      <alignment horizontal="right"/>
    </xf>
    <xf numFmtId="0" fontId="0" fillId="0" borderId="38" xfId="0" applyBorder="1" applyAlignment="1">
      <alignment horizontal="right" vertical="center"/>
    </xf>
    <xf numFmtId="10" fontId="0" fillId="0" borderId="37" xfId="0" applyNumberFormat="1" applyBorder="1"/>
    <xf numFmtId="9" fontId="0" fillId="0" borderId="37" xfId="0" applyNumberFormat="1" applyBorder="1" applyAlignment="1">
      <alignment horizontal="center" vertical="center"/>
    </xf>
    <xf numFmtId="9" fontId="0" fillId="0" borderId="38" xfId="0" applyNumberForma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10" fontId="0" fillId="0" borderId="38" xfId="0" applyNumberFormat="1" applyBorder="1"/>
    <xf numFmtId="9" fontId="0" fillId="0" borderId="37" xfId="0" applyNumberFormat="1" applyBorder="1"/>
    <xf numFmtId="9" fontId="0" fillId="0" borderId="38" xfId="0" applyNumberFormat="1" applyBorder="1"/>
    <xf numFmtId="10" fontId="0" fillId="0" borderId="37" xfId="1" applyNumberFormat="1" applyFont="1" applyBorder="1"/>
    <xf numFmtId="10" fontId="0" fillId="0" borderId="38" xfId="1" applyNumberFormat="1" applyFont="1" applyBorder="1"/>
    <xf numFmtId="0" fontId="0" fillId="0" borderId="36" xfId="0" applyBorder="1" applyAlignment="1">
      <alignment horizontal="right" vertical="center"/>
    </xf>
    <xf numFmtId="10" fontId="0" fillId="0" borderId="36" xfId="1" applyNumberFormat="1" applyFont="1" applyBorder="1"/>
    <xf numFmtId="0" fontId="0" fillId="0" borderId="12" xfId="0" applyBorder="1"/>
    <xf numFmtId="9" fontId="0" fillId="0" borderId="34" xfId="0" applyNumberFormat="1" applyBorder="1" applyAlignment="1">
      <alignment horizontal="right" vertical="center"/>
    </xf>
    <xf numFmtId="0" fontId="0" fillId="0" borderId="34" xfId="0" applyBorder="1"/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0" fontId="0" fillId="0" borderId="38" xfId="0" applyBorder="1" applyAlignment="1">
      <alignment horizontal="right"/>
    </xf>
    <xf numFmtId="4" fontId="0" fillId="0" borderId="37" xfId="0" applyNumberFormat="1" applyBorder="1"/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1" fillId="5" borderId="0" xfId="0" applyFont="1" applyFill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9" xfId="0" applyBorder="1" applyAlignment="1">
      <alignment horizontal="left"/>
    </xf>
    <xf numFmtId="0" fontId="0" fillId="0" borderId="34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workbookViewId="0">
      <selection activeCell="C55" sqref="C55"/>
    </sheetView>
  </sheetViews>
  <sheetFormatPr defaultRowHeight="14.5" x14ac:dyDescent="0.35"/>
  <cols>
    <col min="1" max="1" width="40.6328125" customWidth="1"/>
    <col min="2" max="2" width="16.6328125" customWidth="1"/>
    <col min="3" max="24" width="12.6328125" customWidth="1"/>
  </cols>
  <sheetData>
    <row r="1" spans="1:23" ht="15.5" x14ac:dyDescent="0.35">
      <c r="A1" s="101" t="s">
        <v>27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</row>
    <row r="3" spans="1:23" x14ac:dyDescent="0.35">
      <c r="A3" s="39" t="s">
        <v>30</v>
      </c>
      <c r="B3" s="38"/>
    </row>
    <row r="4" spans="1:23" ht="15" thickBot="1" x14ac:dyDescent="0.4"/>
    <row r="5" spans="1:23" ht="15" thickBot="1" x14ac:dyDescent="0.4">
      <c r="A5" s="8" t="s">
        <v>11</v>
      </c>
      <c r="B5" s="9"/>
    </row>
    <row r="6" spans="1:23" ht="15" thickBot="1" x14ac:dyDescent="0.4">
      <c r="A6" s="37" t="s">
        <v>12</v>
      </c>
      <c r="B6" s="36">
        <v>20</v>
      </c>
    </row>
    <row r="7" spans="1:23" ht="15" thickBot="1" x14ac:dyDescent="0.4"/>
    <row r="8" spans="1:23" ht="15" thickBot="1" x14ac:dyDescent="0.4">
      <c r="A8" s="8" t="s">
        <v>0</v>
      </c>
      <c r="B8" s="9"/>
    </row>
    <row r="9" spans="1:23" x14ac:dyDescent="0.35">
      <c r="A9" s="10" t="s">
        <v>1</v>
      </c>
      <c r="B9" s="12">
        <f>Sensitivity_Analysis!C10</f>
        <v>0.09</v>
      </c>
      <c r="H9" s="7"/>
    </row>
    <row r="10" spans="1:23" x14ac:dyDescent="0.35">
      <c r="A10" s="10" t="s">
        <v>2</v>
      </c>
      <c r="B10" s="13">
        <f>Sensitivity_Analysis!C6</f>
        <v>14833.652</v>
      </c>
    </row>
    <row r="11" spans="1:23" x14ac:dyDescent="0.35">
      <c r="A11" s="10" t="s">
        <v>52</v>
      </c>
      <c r="B11" s="13">
        <f>Sensitivity_Analysis!C9</f>
        <v>180</v>
      </c>
    </row>
    <row r="12" spans="1:23" x14ac:dyDescent="0.35">
      <c r="A12" s="10" t="s">
        <v>29</v>
      </c>
      <c r="B12" s="12">
        <v>0.85</v>
      </c>
    </row>
    <row r="13" spans="1:23" x14ac:dyDescent="0.35">
      <c r="A13" s="10" t="s">
        <v>3</v>
      </c>
      <c r="B13" s="13">
        <f>Sensitivity_Analysis!C5</f>
        <v>14</v>
      </c>
    </row>
    <row r="14" spans="1:23" x14ac:dyDescent="0.35">
      <c r="A14" s="10" t="s">
        <v>4</v>
      </c>
      <c r="B14" s="12">
        <v>7.0000000000000001E-3</v>
      </c>
    </row>
    <row r="15" spans="1:23" x14ac:dyDescent="0.35">
      <c r="A15" s="10" t="s">
        <v>39</v>
      </c>
      <c r="B15" s="12">
        <f>Sensitivity_Analysis!C7</f>
        <v>0.01</v>
      </c>
    </row>
    <row r="16" spans="1:23" ht="15" thickBot="1" x14ac:dyDescent="0.4">
      <c r="A16" s="11" t="s">
        <v>5</v>
      </c>
      <c r="B16" s="14">
        <f>Sensitivity_Analysis!C8</f>
        <v>0.03</v>
      </c>
    </row>
    <row r="18" spans="1:23" x14ac:dyDescent="0.35">
      <c r="A18" s="39" t="s">
        <v>31</v>
      </c>
      <c r="B18" s="38"/>
    </row>
    <row r="19" spans="1:23" ht="15" thickBot="1" x14ac:dyDescent="0.4"/>
    <row r="20" spans="1:23" ht="15" thickBot="1" x14ac:dyDescent="0.4">
      <c r="A20" s="32" t="s">
        <v>6</v>
      </c>
      <c r="B20" s="33" t="s">
        <v>7</v>
      </c>
      <c r="C20" s="33">
        <v>0</v>
      </c>
      <c r="D20" s="33">
        <v>1</v>
      </c>
      <c r="E20" s="33">
        <v>2</v>
      </c>
      <c r="F20" s="33">
        <v>3</v>
      </c>
      <c r="G20" s="33">
        <v>4</v>
      </c>
      <c r="H20" s="33">
        <v>5</v>
      </c>
      <c r="I20" s="33">
        <v>6</v>
      </c>
      <c r="J20" s="33">
        <v>7</v>
      </c>
      <c r="K20" s="33">
        <v>8</v>
      </c>
      <c r="L20" s="33">
        <v>9</v>
      </c>
      <c r="M20" s="33">
        <v>10</v>
      </c>
      <c r="N20" s="33">
        <v>11</v>
      </c>
      <c r="O20" s="33">
        <v>12</v>
      </c>
      <c r="P20" s="33">
        <v>13</v>
      </c>
      <c r="Q20" s="33">
        <v>14</v>
      </c>
      <c r="R20" s="33">
        <v>15</v>
      </c>
      <c r="S20" s="33">
        <v>16</v>
      </c>
      <c r="T20" s="33">
        <v>17</v>
      </c>
      <c r="U20" s="33">
        <v>18</v>
      </c>
      <c r="V20" s="33">
        <v>19</v>
      </c>
      <c r="W20" s="34">
        <v>20</v>
      </c>
    </row>
    <row r="21" spans="1:23" x14ac:dyDescent="0.35">
      <c r="A21" s="23" t="s">
        <v>25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</row>
    <row r="22" spans="1:23" x14ac:dyDescent="0.35">
      <c r="A22" s="18" t="s">
        <v>8</v>
      </c>
      <c r="B22" s="1">
        <f>SUM(C22:W22)</f>
        <v>40107.310829534945</v>
      </c>
      <c r="C22" s="1">
        <v>0</v>
      </c>
      <c r="D22" s="1">
        <f t="shared" ref="D22:W22" si="0">(Generation*((1-ModuleDegradation)^(D20-1))*EfficiencyDerate*Tariff)</f>
        <v>2142</v>
      </c>
      <c r="E22" s="1">
        <f t="shared" si="0"/>
        <v>2127.0059999999999</v>
      </c>
      <c r="F22" s="1">
        <f t="shared" si="0"/>
        <v>2112.1169580000001</v>
      </c>
      <c r="G22" s="1">
        <f t="shared" si="0"/>
        <v>2097.3321392939997</v>
      </c>
      <c r="H22" s="1">
        <f t="shared" si="0"/>
        <v>2082.6508143189417</v>
      </c>
      <c r="I22" s="1">
        <f t="shared" si="0"/>
        <v>2068.0722586187094</v>
      </c>
      <c r="J22" s="1">
        <f t="shared" si="0"/>
        <v>2053.5957528083782</v>
      </c>
      <c r="K22" s="1">
        <f t="shared" si="0"/>
        <v>2039.2205825387193</v>
      </c>
      <c r="L22" s="1">
        <f t="shared" si="0"/>
        <v>2024.9460384609481</v>
      </c>
      <c r="M22" s="1">
        <f t="shared" si="0"/>
        <v>2010.7714161917215</v>
      </c>
      <c r="N22" s="1">
        <f t="shared" si="0"/>
        <v>1996.6960162783798</v>
      </c>
      <c r="O22" s="1">
        <f t="shared" si="0"/>
        <v>1982.7191441644309</v>
      </c>
      <c r="P22" s="1">
        <f t="shared" si="0"/>
        <v>1968.8401101552795</v>
      </c>
      <c r="Q22" s="1">
        <f t="shared" si="0"/>
        <v>1955.0582293841926</v>
      </c>
      <c r="R22" s="1">
        <f t="shared" si="0"/>
        <v>1941.3728217785033</v>
      </c>
      <c r="S22" s="1">
        <f t="shared" si="0"/>
        <v>1927.7832120260539</v>
      </c>
      <c r="T22" s="1">
        <f t="shared" si="0"/>
        <v>1914.2887295418714</v>
      </c>
      <c r="U22" s="1">
        <f t="shared" si="0"/>
        <v>1900.8887084350779</v>
      </c>
      <c r="V22" s="1">
        <f t="shared" si="0"/>
        <v>1887.5824874760326</v>
      </c>
      <c r="W22" s="1">
        <f t="shared" si="0"/>
        <v>1874.3694100636999</v>
      </c>
    </row>
    <row r="23" spans="1:23" ht="15" thickBot="1" x14ac:dyDescent="0.4">
      <c r="A23" s="20" t="s">
        <v>22</v>
      </c>
      <c r="B23" s="21">
        <f>SUM(C23:W23)</f>
        <v>40107.310829534945</v>
      </c>
      <c r="C23" s="21">
        <f t="shared" ref="C23:W23" si="1">C22</f>
        <v>0</v>
      </c>
      <c r="D23" s="21">
        <f t="shared" si="1"/>
        <v>2142</v>
      </c>
      <c r="E23" s="21">
        <f t="shared" si="1"/>
        <v>2127.0059999999999</v>
      </c>
      <c r="F23" s="21">
        <f t="shared" si="1"/>
        <v>2112.1169580000001</v>
      </c>
      <c r="G23" s="21">
        <f t="shared" si="1"/>
        <v>2097.3321392939997</v>
      </c>
      <c r="H23" s="21">
        <f t="shared" si="1"/>
        <v>2082.6508143189417</v>
      </c>
      <c r="I23" s="21">
        <f t="shared" si="1"/>
        <v>2068.0722586187094</v>
      </c>
      <c r="J23" s="21">
        <f t="shared" si="1"/>
        <v>2053.5957528083782</v>
      </c>
      <c r="K23" s="21">
        <f t="shared" si="1"/>
        <v>2039.2205825387193</v>
      </c>
      <c r="L23" s="21">
        <f t="shared" si="1"/>
        <v>2024.9460384609481</v>
      </c>
      <c r="M23" s="21">
        <f t="shared" si="1"/>
        <v>2010.7714161917215</v>
      </c>
      <c r="N23" s="21">
        <f t="shared" si="1"/>
        <v>1996.6960162783798</v>
      </c>
      <c r="O23" s="21">
        <f t="shared" si="1"/>
        <v>1982.7191441644309</v>
      </c>
      <c r="P23" s="21">
        <f t="shared" si="1"/>
        <v>1968.8401101552795</v>
      </c>
      <c r="Q23" s="21">
        <f t="shared" si="1"/>
        <v>1955.0582293841926</v>
      </c>
      <c r="R23" s="21">
        <f t="shared" si="1"/>
        <v>1941.3728217785033</v>
      </c>
      <c r="S23" s="21">
        <f t="shared" si="1"/>
        <v>1927.7832120260539</v>
      </c>
      <c r="T23" s="21">
        <f t="shared" si="1"/>
        <v>1914.2887295418714</v>
      </c>
      <c r="U23" s="21">
        <f t="shared" si="1"/>
        <v>1900.8887084350779</v>
      </c>
      <c r="V23" s="21">
        <f t="shared" si="1"/>
        <v>1887.5824874760326</v>
      </c>
      <c r="W23" s="22">
        <f t="shared" si="1"/>
        <v>1874.3694100636999</v>
      </c>
    </row>
    <row r="24" spans="1:23" x14ac:dyDescent="0.35">
      <c r="A24" s="16" t="s">
        <v>26</v>
      </c>
      <c r="W24" s="17"/>
    </row>
    <row r="25" spans="1:23" x14ac:dyDescent="0.35">
      <c r="A25" s="18" t="s">
        <v>9</v>
      </c>
      <c r="B25" s="1">
        <f>SUM(C25:W25)</f>
        <v>14833.652</v>
      </c>
      <c r="C25" s="1">
        <f>CapitalCost</f>
        <v>14833.652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9">
        <v>0</v>
      </c>
    </row>
    <row r="26" spans="1:23" x14ac:dyDescent="0.35">
      <c r="A26" s="18" t="s">
        <v>10</v>
      </c>
      <c r="B26" s="1">
        <f>SUM(C26:W26)</f>
        <v>3985.8578427921398</v>
      </c>
      <c r="C26" s="1">
        <v>0</v>
      </c>
      <c r="D26" s="1">
        <f t="shared" ref="D26:W26" si="2">(CapitalCost*OandMyr0*(1+OandMescalation)^(D20-1))</f>
        <v>148.33652000000001</v>
      </c>
      <c r="E26" s="1">
        <f t="shared" si="2"/>
        <v>152.7866156</v>
      </c>
      <c r="F26" s="1">
        <f t="shared" si="2"/>
        <v>157.370214068</v>
      </c>
      <c r="G26" s="1">
        <f t="shared" si="2"/>
        <v>162.09132049004</v>
      </c>
      <c r="H26" s="1">
        <f t="shared" si="2"/>
        <v>166.95406010474119</v>
      </c>
      <c r="I26" s="1">
        <f t="shared" si="2"/>
        <v>171.96268190788342</v>
      </c>
      <c r="J26" s="1">
        <f t="shared" si="2"/>
        <v>177.12156236511993</v>
      </c>
      <c r="K26" s="1">
        <f t="shared" si="2"/>
        <v>182.43520923607355</v>
      </c>
      <c r="L26" s="1">
        <f t="shared" si="2"/>
        <v>187.90826551315573</v>
      </c>
      <c r="M26" s="1">
        <f t="shared" si="2"/>
        <v>193.54551347855042</v>
      </c>
      <c r="N26" s="1">
        <f t="shared" si="2"/>
        <v>199.35187888290693</v>
      </c>
      <c r="O26" s="1">
        <f t="shared" si="2"/>
        <v>205.33243524939414</v>
      </c>
      <c r="P26" s="1">
        <f t="shared" si="2"/>
        <v>211.49240830687592</v>
      </c>
      <c r="Q26" s="1">
        <f t="shared" si="2"/>
        <v>217.83718055608219</v>
      </c>
      <c r="R26" s="1">
        <f t="shared" si="2"/>
        <v>224.37229597276468</v>
      </c>
      <c r="S26" s="1">
        <f t="shared" si="2"/>
        <v>231.10346485194765</v>
      </c>
      <c r="T26" s="1">
        <f t="shared" si="2"/>
        <v>238.03656879750602</v>
      </c>
      <c r="U26" s="1">
        <f t="shared" si="2"/>
        <v>245.17766586143119</v>
      </c>
      <c r="V26" s="1">
        <f t="shared" si="2"/>
        <v>252.53299583727414</v>
      </c>
      <c r="W26" s="1">
        <f t="shared" si="2"/>
        <v>260.10898571239238</v>
      </c>
    </row>
    <row r="27" spans="1:23" ht="15" thickBot="1" x14ac:dyDescent="0.4">
      <c r="A27" s="20" t="s">
        <v>23</v>
      </c>
      <c r="B27" s="21">
        <f>SUM(C27:W27)</f>
        <v>18819.509842792144</v>
      </c>
      <c r="C27" s="21">
        <f t="shared" ref="C27:W27" si="3">SUM(C25:C26)</f>
        <v>14833.652</v>
      </c>
      <c r="D27" s="21">
        <f t="shared" si="3"/>
        <v>148.33652000000001</v>
      </c>
      <c r="E27" s="21">
        <f t="shared" si="3"/>
        <v>152.7866156</v>
      </c>
      <c r="F27" s="21">
        <f t="shared" si="3"/>
        <v>157.370214068</v>
      </c>
      <c r="G27" s="21">
        <f t="shared" si="3"/>
        <v>162.09132049004</v>
      </c>
      <c r="H27" s="21">
        <f t="shared" si="3"/>
        <v>166.95406010474119</v>
      </c>
      <c r="I27" s="21">
        <f t="shared" si="3"/>
        <v>171.96268190788342</v>
      </c>
      <c r="J27" s="21">
        <f t="shared" si="3"/>
        <v>177.12156236511993</v>
      </c>
      <c r="K27" s="21">
        <f t="shared" si="3"/>
        <v>182.43520923607355</v>
      </c>
      <c r="L27" s="21">
        <f t="shared" si="3"/>
        <v>187.90826551315573</v>
      </c>
      <c r="M27" s="21">
        <f t="shared" si="3"/>
        <v>193.54551347855042</v>
      </c>
      <c r="N27" s="21">
        <f t="shared" si="3"/>
        <v>199.35187888290693</v>
      </c>
      <c r="O27" s="21">
        <f t="shared" si="3"/>
        <v>205.33243524939414</v>
      </c>
      <c r="P27" s="21">
        <f t="shared" si="3"/>
        <v>211.49240830687592</v>
      </c>
      <c r="Q27" s="21">
        <f t="shared" si="3"/>
        <v>217.83718055608219</v>
      </c>
      <c r="R27" s="21">
        <f t="shared" si="3"/>
        <v>224.37229597276468</v>
      </c>
      <c r="S27" s="21">
        <f t="shared" si="3"/>
        <v>231.10346485194765</v>
      </c>
      <c r="T27" s="21">
        <f t="shared" si="3"/>
        <v>238.03656879750602</v>
      </c>
      <c r="U27" s="21">
        <f t="shared" si="3"/>
        <v>245.17766586143119</v>
      </c>
      <c r="V27" s="21">
        <f t="shared" si="3"/>
        <v>252.53299583727414</v>
      </c>
      <c r="W27" s="22">
        <f t="shared" si="3"/>
        <v>260.10898571239238</v>
      </c>
    </row>
    <row r="28" spans="1:23" ht="1" customHeight="1" x14ac:dyDescent="0.35">
      <c r="A28" s="2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8"/>
    </row>
    <row r="29" spans="1:23" ht="15" thickBot="1" x14ac:dyDescent="0.4">
      <c r="A29" s="29" t="s">
        <v>24</v>
      </c>
      <c r="B29" s="30">
        <f>SUM(C29:W29)</f>
        <v>21287.800986742801</v>
      </c>
      <c r="C29" s="30">
        <f t="shared" ref="C29:W29" si="4">C23-C27</f>
        <v>-14833.652</v>
      </c>
      <c r="D29" s="30">
        <f t="shared" si="4"/>
        <v>1993.6634799999999</v>
      </c>
      <c r="E29" s="30">
        <f t="shared" si="4"/>
        <v>1974.2193843999999</v>
      </c>
      <c r="F29" s="30">
        <f t="shared" si="4"/>
        <v>1954.7467439320001</v>
      </c>
      <c r="G29" s="30">
        <f t="shared" si="4"/>
        <v>1935.2408188039597</v>
      </c>
      <c r="H29" s="30">
        <f t="shared" si="4"/>
        <v>1915.6967542142006</v>
      </c>
      <c r="I29" s="30">
        <f t="shared" si="4"/>
        <v>1896.1095767108259</v>
      </c>
      <c r="J29" s="30">
        <f t="shared" si="4"/>
        <v>1876.4741904432583</v>
      </c>
      <c r="K29" s="30">
        <f t="shared" si="4"/>
        <v>1856.7853733026459</v>
      </c>
      <c r="L29" s="30">
        <f t="shared" si="4"/>
        <v>1837.0377729477923</v>
      </c>
      <c r="M29" s="30">
        <f t="shared" si="4"/>
        <v>1817.2259027131711</v>
      </c>
      <c r="N29" s="30">
        <f t="shared" si="4"/>
        <v>1797.3441373954729</v>
      </c>
      <c r="O29" s="30">
        <f t="shared" si="4"/>
        <v>1777.3867089150367</v>
      </c>
      <c r="P29" s="30">
        <f t="shared" si="4"/>
        <v>1757.3477018484036</v>
      </c>
      <c r="Q29" s="30">
        <f t="shared" si="4"/>
        <v>1737.2210488281105</v>
      </c>
      <c r="R29" s="30">
        <f t="shared" si="4"/>
        <v>1717.0005258057386</v>
      </c>
      <c r="S29" s="30">
        <f t="shared" si="4"/>
        <v>1696.6797471741063</v>
      </c>
      <c r="T29" s="30">
        <f t="shared" si="4"/>
        <v>1676.2521607443653</v>
      </c>
      <c r="U29" s="30">
        <f t="shared" si="4"/>
        <v>1655.7110425736466</v>
      </c>
      <c r="V29" s="30">
        <f t="shared" si="4"/>
        <v>1635.0494916387584</v>
      </c>
      <c r="W29" s="31">
        <f t="shared" si="4"/>
        <v>1614.2604243513074</v>
      </c>
    </row>
    <row r="31" spans="1:23" x14ac:dyDescent="0.35">
      <c r="A31" s="38" t="s">
        <v>32</v>
      </c>
      <c r="B31" s="38"/>
    </row>
    <row r="32" spans="1:23" ht="15" thickBot="1" x14ac:dyDescent="0.4"/>
    <row r="33" spans="1:23" x14ac:dyDescent="0.35">
      <c r="A33" s="107" t="s">
        <v>17</v>
      </c>
      <c r="B33" s="108"/>
      <c r="C33" s="42">
        <f t="shared" ref="C33:W33" si="5">C23/(1+DiscountRate)^C20</f>
        <v>0</v>
      </c>
      <c r="D33" s="42">
        <f t="shared" si="5"/>
        <v>1965.1376146788989</v>
      </c>
      <c r="E33" s="42">
        <f t="shared" si="5"/>
        <v>1790.2583957579325</v>
      </c>
      <c r="F33" s="42">
        <f t="shared" si="5"/>
        <v>1630.9418229244286</v>
      </c>
      <c r="G33" s="42">
        <f t="shared" si="5"/>
        <v>1485.8029634531717</v>
      </c>
      <c r="H33" s="42">
        <f t="shared" si="5"/>
        <v>1353.5801309256874</v>
      </c>
      <c r="I33" s="42">
        <f t="shared" si="5"/>
        <v>1233.1239174396401</v>
      </c>
      <c r="J33" s="42">
        <f t="shared" si="5"/>
        <v>1123.3872018509749</v>
      </c>
      <c r="K33" s="42">
        <f t="shared" si="5"/>
        <v>1023.4160471908421</v>
      </c>
      <c r="L33" s="42">
        <f t="shared" si="5"/>
        <v>932.3414081289045</v>
      </c>
      <c r="M33" s="42">
        <f t="shared" si="5"/>
        <v>849.37157639633222</v>
      </c>
      <c r="N33" s="42">
        <f t="shared" si="5"/>
        <v>773.7852984968423</v>
      </c>
      <c r="O33" s="42">
        <f t="shared" si="5"/>
        <v>704.9255058783159</v>
      </c>
      <c r="P33" s="42">
        <f t="shared" si="5"/>
        <v>642.19360306162139</v>
      </c>
      <c r="Q33" s="42">
        <f t="shared" si="5"/>
        <v>585.04426407356891</v>
      </c>
      <c r="R33" s="42">
        <f t="shared" si="5"/>
        <v>532.98069194959078</v>
      </c>
      <c r="S33" s="42">
        <f t="shared" si="5"/>
        <v>485.55030009719599</v>
      </c>
      <c r="T33" s="42">
        <f t="shared" si="5"/>
        <v>442.34077797845464</v>
      </c>
      <c r="U33" s="42">
        <f t="shared" si="5"/>
        <v>402.97650691064706</v>
      </c>
      <c r="V33" s="42">
        <f t="shared" si="5"/>
        <v>367.11529482777303</v>
      </c>
      <c r="W33" s="42">
        <f t="shared" si="5"/>
        <v>334.4454016183289</v>
      </c>
    </row>
    <row r="34" spans="1:23" x14ac:dyDescent="0.35">
      <c r="A34" s="109" t="s">
        <v>18</v>
      </c>
      <c r="B34" s="110"/>
      <c r="C34" s="3">
        <f t="shared" ref="C34:W34" si="6">C27/(1+DiscountRate)^C20</f>
        <v>14833.652</v>
      </c>
      <c r="D34" s="3">
        <f t="shared" si="6"/>
        <v>136.08855045871559</v>
      </c>
      <c r="E34" s="3">
        <f t="shared" si="6"/>
        <v>128.59743758942849</v>
      </c>
      <c r="F34" s="3">
        <f t="shared" si="6"/>
        <v>121.51867955698287</v>
      </c>
      <c r="G34" s="3">
        <f t="shared" si="6"/>
        <v>114.82957792999299</v>
      </c>
      <c r="H34" s="3">
        <f t="shared" si="6"/>
        <v>108.5086837320117</v>
      </c>
      <c r="I34" s="3">
        <f t="shared" si="6"/>
        <v>102.53572866419454</v>
      </c>
      <c r="J34" s="3">
        <f t="shared" si="6"/>
        <v>96.891560113871904</v>
      </c>
      <c r="K34" s="3">
        <f t="shared" si="6"/>
        <v>91.558079740631257</v>
      </c>
      <c r="L34" s="3">
        <f t="shared" si="6"/>
        <v>86.518185442981803</v>
      </c>
      <c r="M34" s="3">
        <f t="shared" si="6"/>
        <v>81.75571651951492</v>
      </c>
      <c r="N34" s="3">
        <f t="shared" si="6"/>
        <v>77.255401848715934</v>
      </c>
      <c r="O34" s="3">
        <f t="shared" si="6"/>
        <v>73.002810921263688</v>
      </c>
      <c r="P34" s="3">
        <f t="shared" si="6"/>
        <v>68.984307567799604</v>
      </c>
      <c r="Q34" s="3">
        <f t="shared" si="6"/>
        <v>65.187006233792275</v>
      </c>
      <c r="R34" s="3">
        <f t="shared" si="6"/>
        <v>61.598730661289956</v>
      </c>
      <c r="S34" s="3">
        <f t="shared" si="6"/>
        <v>58.207974845072165</v>
      </c>
      <c r="T34" s="3">
        <f t="shared" si="6"/>
        <v>55.003866138003957</v>
      </c>
      <c r="U34" s="3">
        <f t="shared" si="6"/>
        <v>51.976130387288137</v>
      </c>
      <c r="V34" s="3">
        <f t="shared" si="6"/>
        <v>49.115058989822735</v>
      </c>
      <c r="W34" s="3">
        <f t="shared" si="6"/>
        <v>46.411477761025161</v>
      </c>
    </row>
    <row r="35" spans="1:23" ht="15" thickBot="1" x14ac:dyDescent="0.4">
      <c r="A35" s="104" t="s">
        <v>28</v>
      </c>
      <c r="B35" s="105"/>
      <c r="C35" s="43">
        <f t="shared" ref="C35:W35" si="7">C29/(1+DiscountRate)^C20</f>
        <v>-14833.652</v>
      </c>
      <c r="D35" s="43">
        <f t="shared" si="7"/>
        <v>1829.0490642201833</v>
      </c>
      <c r="E35" s="43">
        <f t="shared" si="7"/>
        <v>1661.6609581685041</v>
      </c>
      <c r="F35" s="43">
        <f t="shared" si="7"/>
        <v>1509.4231433674456</v>
      </c>
      <c r="G35" s="43">
        <f t="shared" si="7"/>
        <v>1370.9733855231786</v>
      </c>
      <c r="H35" s="43">
        <f t="shared" si="7"/>
        <v>1245.0714471936758</v>
      </c>
      <c r="I35" s="43">
        <f t="shared" si="7"/>
        <v>1130.5881887754456</v>
      </c>
      <c r="J35" s="43">
        <f t="shared" si="7"/>
        <v>1026.4956417371029</v>
      </c>
      <c r="K35" s="43">
        <f t="shared" si="7"/>
        <v>931.85796745021082</v>
      </c>
      <c r="L35" s="43">
        <f t="shared" si="7"/>
        <v>845.8232226859227</v>
      </c>
      <c r="M35" s="43">
        <f t="shared" si="7"/>
        <v>767.61585987681724</v>
      </c>
      <c r="N35" s="43">
        <f t="shared" si="7"/>
        <v>696.52989664812628</v>
      </c>
      <c r="O35" s="43">
        <f t="shared" si="7"/>
        <v>631.92269495705216</v>
      </c>
      <c r="P35" s="43">
        <f t="shared" si="7"/>
        <v>573.20929549382186</v>
      </c>
      <c r="Q35" s="43">
        <f t="shared" si="7"/>
        <v>519.85725783977659</v>
      </c>
      <c r="R35" s="43">
        <f t="shared" si="7"/>
        <v>471.38196128830077</v>
      </c>
      <c r="S35" s="43">
        <f t="shared" si="7"/>
        <v>427.34232525212383</v>
      </c>
      <c r="T35" s="43">
        <f t="shared" si="7"/>
        <v>387.33691184045068</v>
      </c>
      <c r="U35" s="43">
        <f t="shared" si="7"/>
        <v>351.00037652335897</v>
      </c>
      <c r="V35" s="43">
        <f t="shared" si="7"/>
        <v>318.00023583795024</v>
      </c>
      <c r="W35" s="43">
        <f t="shared" si="7"/>
        <v>288.03392385730376</v>
      </c>
    </row>
    <row r="36" spans="1:23" ht="15" thickBot="1" x14ac:dyDescent="0.4">
      <c r="A36" s="111" t="s">
        <v>19</v>
      </c>
      <c r="B36" s="111"/>
      <c r="C36" s="41">
        <f>C35</f>
        <v>-14833.652</v>
      </c>
      <c r="D36" s="41">
        <f>C36+D35</f>
        <v>-13004.602935779816</v>
      </c>
      <c r="E36" s="41">
        <f t="shared" ref="E36:W36" si="8">D36+E35</f>
        <v>-11342.941977611312</v>
      </c>
      <c r="F36" s="41">
        <f t="shared" si="8"/>
        <v>-9833.5188342438669</v>
      </c>
      <c r="G36" s="41">
        <f t="shared" si="8"/>
        <v>-8462.545448720688</v>
      </c>
      <c r="H36" s="41">
        <f t="shared" si="8"/>
        <v>-7217.4740015270127</v>
      </c>
      <c r="I36" s="41">
        <f t="shared" si="8"/>
        <v>-6086.8858127515668</v>
      </c>
      <c r="J36" s="41">
        <f t="shared" si="8"/>
        <v>-5060.3901710144637</v>
      </c>
      <c r="K36" s="41">
        <f t="shared" si="8"/>
        <v>-4128.532203564253</v>
      </c>
      <c r="L36" s="41">
        <f t="shared" si="8"/>
        <v>-3282.7089808783303</v>
      </c>
      <c r="M36" s="41">
        <f t="shared" si="8"/>
        <v>-2515.0931210015133</v>
      </c>
      <c r="N36" s="41">
        <f t="shared" si="8"/>
        <v>-1818.5632243533869</v>
      </c>
      <c r="O36" s="41">
        <f t="shared" si="8"/>
        <v>-1186.6405293963348</v>
      </c>
      <c r="P36" s="41">
        <f t="shared" si="8"/>
        <v>-613.43123390251299</v>
      </c>
      <c r="Q36" s="41">
        <f t="shared" si="8"/>
        <v>-93.573976062736392</v>
      </c>
      <c r="R36" s="41">
        <f t="shared" si="8"/>
        <v>377.80798522556438</v>
      </c>
      <c r="S36" s="41">
        <f t="shared" si="8"/>
        <v>805.15031047768821</v>
      </c>
      <c r="T36" s="41">
        <f t="shared" si="8"/>
        <v>1192.4872223181389</v>
      </c>
      <c r="U36" s="41">
        <f t="shared" si="8"/>
        <v>1543.4875988414979</v>
      </c>
      <c r="V36" s="41">
        <f t="shared" si="8"/>
        <v>1861.487834679448</v>
      </c>
      <c r="W36" s="41">
        <f t="shared" si="8"/>
        <v>2149.5217585367518</v>
      </c>
    </row>
    <row r="37" spans="1:23" x14ac:dyDescent="0.35">
      <c r="A37" s="40"/>
      <c r="B37" s="4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35">
      <c r="A38" s="39" t="s">
        <v>34</v>
      </c>
      <c r="B38" s="3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35">
      <c r="A39" s="40"/>
      <c r="B39" s="4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35">
      <c r="A40" s="103" t="s">
        <v>35</v>
      </c>
      <c r="B40" s="103"/>
      <c r="C40" s="1">
        <f>C36</f>
        <v>-14833.652</v>
      </c>
      <c r="D40" s="1">
        <f t="shared" ref="D40:W40" si="9">D36</f>
        <v>-13004.602935779816</v>
      </c>
      <c r="E40" s="1">
        <f t="shared" si="9"/>
        <v>-11342.941977611312</v>
      </c>
      <c r="F40" s="1">
        <f t="shared" si="9"/>
        <v>-9833.5188342438669</v>
      </c>
      <c r="G40" s="1">
        <f t="shared" si="9"/>
        <v>-8462.545448720688</v>
      </c>
      <c r="H40" s="1">
        <f t="shared" si="9"/>
        <v>-7217.4740015270127</v>
      </c>
      <c r="I40" s="1">
        <f t="shared" si="9"/>
        <v>-6086.8858127515668</v>
      </c>
      <c r="J40" s="1">
        <f t="shared" si="9"/>
        <v>-5060.3901710144637</v>
      </c>
      <c r="K40" s="1">
        <f t="shared" si="9"/>
        <v>-4128.532203564253</v>
      </c>
      <c r="L40" s="1">
        <f t="shared" si="9"/>
        <v>-3282.7089808783303</v>
      </c>
      <c r="M40" s="1">
        <f t="shared" si="9"/>
        <v>-2515.0931210015133</v>
      </c>
      <c r="N40" s="1">
        <f t="shared" si="9"/>
        <v>-1818.5632243533869</v>
      </c>
      <c r="O40" s="1">
        <f t="shared" si="9"/>
        <v>-1186.6405293963348</v>
      </c>
      <c r="P40" s="1">
        <f t="shared" si="9"/>
        <v>-613.43123390251299</v>
      </c>
      <c r="Q40" s="1">
        <f t="shared" si="9"/>
        <v>-93.573976062736392</v>
      </c>
      <c r="R40" s="1">
        <f t="shared" si="9"/>
        <v>377.80798522556438</v>
      </c>
      <c r="S40" s="1">
        <f t="shared" si="9"/>
        <v>805.15031047768821</v>
      </c>
      <c r="T40" s="1">
        <f t="shared" si="9"/>
        <v>1192.4872223181389</v>
      </c>
      <c r="U40" s="1">
        <f t="shared" si="9"/>
        <v>1543.4875988414979</v>
      </c>
      <c r="V40" s="1">
        <f t="shared" si="9"/>
        <v>1861.487834679448</v>
      </c>
      <c r="W40" s="1">
        <f t="shared" si="9"/>
        <v>2149.5217585367518</v>
      </c>
    </row>
    <row r="41" spans="1:23" x14ac:dyDescent="0.35">
      <c r="A41" s="15" t="s">
        <v>36</v>
      </c>
      <c r="B41" s="49" cm="1">
        <f t="array" ref="B41">MAX(IF(C40:W40&lt;0,COLUMN(C40:W40)-COLUMN(C40)))</f>
        <v>14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35">
      <c r="A42" s="15" t="s">
        <v>38</v>
      </c>
      <c r="B42" s="49" cm="1">
        <f t="array" ref="B42">INDEX(C40:W40,B41+1)</f>
        <v>-93.573976062736392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35">
      <c r="A43" s="1" t="s">
        <v>37</v>
      </c>
      <c r="B43" s="49" cm="1">
        <f t="array" ref="B43">IF(B41=ProjectDuration,"-",INDEX(C40:W40,B41+2))</f>
        <v>377.80798522556438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35">
      <c r="A44" s="3" t="s">
        <v>20</v>
      </c>
      <c r="B44" s="52">
        <f>IF(B41=ProjectDuration,"&gt;"&amp;ProjectDuration,B41+ABS(B42)/(ABS(B42)+B43))</f>
        <v>14.198509878924929</v>
      </c>
      <c r="C44" s="48"/>
    </row>
    <row r="45" spans="1:23" x14ac:dyDescent="0.35">
      <c r="A45" s="45"/>
      <c r="B45" s="46"/>
      <c r="C45" s="47"/>
      <c r="D45" s="47"/>
    </row>
    <row r="46" spans="1:23" x14ac:dyDescent="0.35">
      <c r="A46" s="100" t="s">
        <v>15</v>
      </c>
      <c r="B46" s="100"/>
      <c r="C46" s="44">
        <f>C29</f>
        <v>-14833.652</v>
      </c>
      <c r="D46" s="2">
        <f t="shared" ref="D46:W46" si="10">C46+D29</f>
        <v>-12839.988520000001</v>
      </c>
      <c r="E46" s="2">
        <f t="shared" si="10"/>
        <v>-10865.769135600001</v>
      </c>
      <c r="F46" s="2">
        <f t="shared" si="10"/>
        <v>-8911.0223916680006</v>
      </c>
      <c r="G46" s="2">
        <f t="shared" si="10"/>
        <v>-6975.7815728640408</v>
      </c>
      <c r="H46" s="2">
        <f t="shared" si="10"/>
        <v>-5060.0848186498406</v>
      </c>
      <c r="I46" s="2">
        <f t="shared" si="10"/>
        <v>-3163.9752419390147</v>
      </c>
      <c r="J46" s="2">
        <f t="shared" si="10"/>
        <v>-1287.5010514957564</v>
      </c>
      <c r="K46" s="2">
        <f t="shared" si="10"/>
        <v>569.28432180688947</v>
      </c>
      <c r="L46" s="2">
        <f t="shared" si="10"/>
        <v>2406.3220947546815</v>
      </c>
      <c r="M46" s="2">
        <f t="shared" si="10"/>
        <v>4223.5479974678528</v>
      </c>
      <c r="N46" s="2">
        <f t="shared" si="10"/>
        <v>6020.8921348633257</v>
      </c>
      <c r="O46" s="2">
        <f t="shared" si="10"/>
        <v>7798.278843778362</v>
      </c>
      <c r="P46" s="2">
        <f t="shared" si="10"/>
        <v>9555.6265456267647</v>
      </c>
      <c r="Q46" s="2">
        <f t="shared" si="10"/>
        <v>11292.847594454875</v>
      </c>
      <c r="R46" s="2">
        <f t="shared" si="10"/>
        <v>13009.848120260614</v>
      </c>
      <c r="S46" s="2">
        <f t="shared" si="10"/>
        <v>14706.527867434721</v>
      </c>
      <c r="T46" s="2">
        <f t="shared" si="10"/>
        <v>16382.780028179086</v>
      </c>
      <c r="U46" s="2">
        <f t="shared" si="10"/>
        <v>18038.491070752734</v>
      </c>
      <c r="V46" s="2">
        <f t="shared" si="10"/>
        <v>19673.540562391492</v>
      </c>
      <c r="W46" s="2">
        <f t="shared" si="10"/>
        <v>21287.800986742801</v>
      </c>
    </row>
    <row r="47" spans="1:23" x14ac:dyDescent="0.35">
      <c r="A47" s="15" t="s">
        <v>36</v>
      </c>
      <c r="B47" s="50" cm="1">
        <f t="array" ref="B47">MAX(IF(C46:W46&lt;0,COLUMN(C46:W46)-COLUMN(C46)))</f>
        <v>7</v>
      </c>
      <c r="C47" s="48"/>
    </row>
    <row r="48" spans="1:23" x14ac:dyDescent="0.35">
      <c r="A48" s="15" t="s">
        <v>38</v>
      </c>
      <c r="B48" s="50" cm="1">
        <f t="array" ref="B48">INDEX(C46:W46,B47+1)</f>
        <v>-1287.5010514957564</v>
      </c>
      <c r="C48" s="48"/>
    </row>
    <row r="49" spans="1:23" x14ac:dyDescent="0.35">
      <c r="A49" s="1" t="s">
        <v>37</v>
      </c>
      <c r="B49" s="50" cm="1">
        <f t="array" ref="B49">IF(B47=ProjectDuration,"-",INDEX(C46:W46,B47+2))</f>
        <v>569.28432180688947</v>
      </c>
      <c r="C49" s="48"/>
    </row>
    <row r="50" spans="1:23" x14ac:dyDescent="0.35">
      <c r="A50" s="3" t="s">
        <v>21</v>
      </c>
      <c r="B50" s="3">
        <f>IF(B47=ProjectDuration,"&gt;"&amp;ProjectDuration,B47+ABS(B48)/(ABS(B48)+B49))</f>
        <v>7.6934032710553355</v>
      </c>
      <c r="C50" s="48"/>
    </row>
    <row r="51" spans="1:23" x14ac:dyDescent="0.35">
      <c r="A51" s="40"/>
      <c r="B51" s="4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35">
      <c r="A52" s="39" t="s">
        <v>33</v>
      </c>
      <c r="B52" s="3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35">
      <c r="B53" s="4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35">
      <c r="A54" s="106" t="s">
        <v>42</v>
      </c>
      <c r="B54" s="106"/>
      <c r="C54" s="35">
        <f>SUM(C35:W35)</f>
        <v>2149.5217585367518</v>
      </c>
    </row>
    <row r="55" spans="1:23" x14ac:dyDescent="0.35">
      <c r="A55" s="102" t="s">
        <v>43</v>
      </c>
      <c r="B55" s="102"/>
      <c r="C55" s="4">
        <f>SUM(C33:W33)/SUM(C34:W34)</f>
        <v>1.1302014727354981</v>
      </c>
    </row>
    <row r="56" spans="1:23" x14ac:dyDescent="0.35">
      <c r="A56" s="102" t="s">
        <v>16</v>
      </c>
      <c r="B56" s="102"/>
      <c r="C56" s="5">
        <f>IRR(C29:W29)</f>
        <v>0.11066572456360646</v>
      </c>
    </row>
    <row r="57" spans="1:23" x14ac:dyDescent="0.35">
      <c r="A57" s="102" t="s">
        <v>13</v>
      </c>
      <c r="B57" s="102"/>
      <c r="C57" s="53">
        <f>IF(B41=ProjectDuration,B44,ROUND(B44,2))</f>
        <v>14.2</v>
      </c>
    </row>
    <row r="58" spans="1:23" x14ac:dyDescent="0.35">
      <c r="A58" s="102" t="s">
        <v>14</v>
      </c>
      <c r="B58" s="102"/>
      <c r="C58" s="6">
        <f>IF(B47=ProjectDuration,B50,ROUND(B50,2))</f>
        <v>7.69</v>
      </c>
    </row>
  </sheetData>
  <mergeCells count="12">
    <mergeCell ref="A46:B46"/>
    <mergeCell ref="A1:W1"/>
    <mergeCell ref="A58:B58"/>
    <mergeCell ref="A40:B40"/>
    <mergeCell ref="A35:B35"/>
    <mergeCell ref="A54:B54"/>
    <mergeCell ref="A55:B55"/>
    <mergeCell ref="A56:B56"/>
    <mergeCell ref="A57:B57"/>
    <mergeCell ref="A33:B33"/>
    <mergeCell ref="A34:B34"/>
    <mergeCell ref="A36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1DF6-7680-4C19-8FD5-37004674D58D}">
  <dimension ref="A1:W97"/>
  <sheetViews>
    <sheetView tabSelected="1" topLeftCell="A71" zoomScale="85" zoomScaleNormal="85" workbookViewId="0">
      <selection activeCell="A81" sqref="A81"/>
    </sheetView>
  </sheetViews>
  <sheetFormatPr defaultRowHeight="14.5" x14ac:dyDescent="0.35"/>
  <cols>
    <col min="1" max="1" width="16.54296875" customWidth="1"/>
    <col min="2" max="2" width="16.6328125" customWidth="1"/>
    <col min="3" max="3" width="14.81640625" customWidth="1"/>
    <col min="4" max="4" width="15.453125" customWidth="1"/>
    <col min="5" max="5" width="16.90625" customWidth="1"/>
    <col min="6" max="6" width="14.90625" customWidth="1"/>
    <col min="7" max="7" width="25.453125" customWidth="1"/>
  </cols>
  <sheetData>
    <row r="1" spans="1:23" ht="15.5" x14ac:dyDescent="0.35">
      <c r="A1" s="114" t="s">
        <v>44</v>
      </c>
      <c r="B1" s="114"/>
      <c r="C1" s="114"/>
      <c r="D1" s="114"/>
      <c r="E1" s="114"/>
      <c r="F1" s="114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ht="15.5" x14ac:dyDescent="0.35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3" ht="15.5" x14ac:dyDescent="0.35">
      <c r="A3" s="60" t="s">
        <v>50</v>
      </c>
      <c r="B3" s="61"/>
      <c r="C3" s="6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3" ht="16" thickBot="1" x14ac:dyDescent="0.4">
      <c r="A4" s="56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3" ht="15.5" x14ac:dyDescent="0.35">
      <c r="A5" s="115" t="s">
        <v>3</v>
      </c>
      <c r="B5" s="116"/>
      <c r="C5" s="62">
        <v>14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3" ht="15.5" x14ac:dyDescent="0.35">
      <c r="A6" s="117" t="s">
        <v>51</v>
      </c>
      <c r="B6" s="118"/>
      <c r="C6" s="63">
        <v>14833.652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3" ht="15.5" x14ac:dyDescent="0.35">
      <c r="A7" s="117" t="s">
        <v>39</v>
      </c>
      <c r="B7" s="118"/>
      <c r="C7" s="64">
        <v>0.01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3" ht="15.5" x14ac:dyDescent="0.35">
      <c r="A8" s="117" t="s">
        <v>5</v>
      </c>
      <c r="B8" s="118"/>
      <c r="C8" s="64">
        <v>0.03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</row>
    <row r="9" spans="1:23" ht="15.5" x14ac:dyDescent="0.35">
      <c r="A9" s="117" t="s">
        <v>52</v>
      </c>
      <c r="B9" s="118"/>
      <c r="C9" s="63">
        <v>180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 spans="1:23" ht="15" thickBot="1" x14ac:dyDescent="0.4">
      <c r="A10" s="119" t="s">
        <v>48</v>
      </c>
      <c r="B10" s="120"/>
      <c r="C10" s="65">
        <v>0.09</v>
      </c>
    </row>
    <row r="12" spans="1:23" x14ac:dyDescent="0.35">
      <c r="A12" s="60" t="s">
        <v>54</v>
      </c>
      <c r="B12" s="38"/>
      <c r="C12" s="38"/>
    </row>
    <row r="13" spans="1:23" ht="15" thickBot="1" x14ac:dyDescent="0.4"/>
    <row r="14" spans="1:23" ht="15" thickBot="1" x14ac:dyDescent="0.4">
      <c r="A14" s="72" t="s">
        <v>66</v>
      </c>
      <c r="B14" s="73" t="s">
        <v>3</v>
      </c>
    </row>
    <row r="15" spans="1:23" x14ac:dyDescent="0.35">
      <c r="A15" s="66">
        <v>-0.1</v>
      </c>
      <c r="B15" s="70">
        <f>Tariff*(1+A15)</f>
        <v>12.6</v>
      </c>
    </row>
    <row r="16" spans="1:23" x14ac:dyDescent="0.35">
      <c r="A16" s="66">
        <v>0</v>
      </c>
      <c r="B16" s="70">
        <f>Tariff*(1+A16)</f>
        <v>14</v>
      </c>
    </row>
    <row r="17" spans="1:6" ht="15" thickBot="1" x14ac:dyDescent="0.4">
      <c r="A17" s="67">
        <v>0.1</v>
      </c>
      <c r="B17" s="71">
        <f>Tariff*(1+A17)</f>
        <v>15.400000000000002</v>
      </c>
    </row>
    <row r="18" spans="1:6" ht="15" thickBot="1" x14ac:dyDescent="0.4"/>
    <row r="19" spans="1:6" ht="15" thickBot="1" x14ac:dyDescent="0.4">
      <c r="A19" s="73" t="s">
        <v>3</v>
      </c>
      <c r="B19" s="73" t="s">
        <v>85</v>
      </c>
      <c r="C19" s="73" t="s">
        <v>41</v>
      </c>
      <c r="D19" s="73" t="s">
        <v>86</v>
      </c>
      <c r="E19" s="73" t="s">
        <v>43</v>
      </c>
    </row>
    <row r="20" spans="1:6" x14ac:dyDescent="0.35">
      <c r="A20" s="75" t="s">
        <v>53</v>
      </c>
      <c r="B20" s="70">
        <f>FNPV</f>
        <v>2149.5217585367518</v>
      </c>
      <c r="C20" s="77">
        <f>FIRR</f>
        <v>0.11066572456360646</v>
      </c>
      <c r="D20" s="70">
        <f>DiscountedPBP</f>
        <v>14.2</v>
      </c>
      <c r="E20" s="70">
        <f>FBCR</f>
        <v>1.1302014727354981</v>
      </c>
    </row>
    <row r="21" spans="1:6" x14ac:dyDescent="0.35">
      <c r="A21" s="63">
        <v>12.6</v>
      </c>
      <c r="B21" s="63">
        <f t="dataTable" ref="B21:E23" dt2D="0" dtr="0" r1="C5" ca="1"/>
        <v>283.64988617283723</v>
      </c>
      <c r="C21" s="64">
        <v>9.2789370465081511E-2</v>
      </c>
      <c r="D21" s="63">
        <v>18.899999999999999</v>
      </c>
      <c r="E21" s="63">
        <v>1.0171813254619479</v>
      </c>
    </row>
    <row r="22" spans="1:6" x14ac:dyDescent="0.35">
      <c r="A22" s="63">
        <v>14</v>
      </c>
      <c r="B22" s="63">
        <v>2149.5217585367518</v>
      </c>
      <c r="C22" s="64">
        <v>0.11066572456360646</v>
      </c>
      <c r="D22" s="63">
        <v>14.2</v>
      </c>
      <c r="E22" s="63">
        <v>1.1302014727354981</v>
      </c>
    </row>
    <row r="23" spans="1:6" ht="15" thickBot="1" x14ac:dyDescent="0.4">
      <c r="A23" s="76">
        <v>15.400000000000002</v>
      </c>
      <c r="B23" s="76">
        <v>4015.3936309006685</v>
      </c>
      <c r="C23" s="65">
        <v>0.12786428504039615</v>
      </c>
      <c r="D23" s="76">
        <v>11.57</v>
      </c>
      <c r="E23" s="76">
        <v>1.243221620009048</v>
      </c>
    </row>
    <row r="24" spans="1:6" x14ac:dyDescent="0.35">
      <c r="A24" s="54"/>
      <c r="B24" s="54"/>
      <c r="C24" s="55"/>
      <c r="D24" s="54"/>
      <c r="E24" s="54"/>
    </row>
    <row r="26" spans="1:6" x14ac:dyDescent="0.35">
      <c r="A26" s="60" t="s">
        <v>45</v>
      </c>
      <c r="B26" s="38"/>
      <c r="C26" s="38"/>
    </row>
    <row r="27" spans="1:6" ht="15" thickBot="1" x14ac:dyDescent="0.4"/>
    <row r="28" spans="1:6" ht="15" thickBot="1" x14ac:dyDescent="0.4">
      <c r="A28" s="82" t="s">
        <v>56</v>
      </c>
      <c r="B28" s="82" t="s">
        <v>57</v>
      </c>
    </row>
    <row r="29" spans="1:6" x14ac:dyDescent="0.35">
      <c r="A29" s="78">
        <v>-0.15</v>
      </c>
      <c r="B29" s="80">
        <f>CapitalCost*(1+A29)</f>
        <v>12608.6042</v>
      </c>
      <c r="C29" s="54"/>
      <c r="D29" s="55"/>
      <c r="E29" s="54"/>
      <c r="F29" s="54"/>
    </row>
    <row r="30" spans="1:6" x14ac:dyDescent="0.35">
      <c r="A30" s="78">
        <v>0</v>
      </c>
      <c r="B30" s="80">
        <f>CapitalCost*(1+A30)</f>
        <v>14833.652</v>
      </c>
      <c r="C30" s="54"/>
      <c r="D30" s="55"/>
      <c r="E30" s="54"/>
      <c r="F30" s="54"/>
    </row>
    <row r="31" spans="1:6" ht="15" thickBot="1" x14ac:dyDescent="0.4">
      <c r="A31" s="79">
        <v>0.15</v>
      </c>
      <c r="B31" s="81">
        <f>CapitalCost*(1+A31)</f>
        <v>17058.699799999999</v>
      </c>
      <c r="C31" s="54"/>
      <c r="D31" s="55"/>
      <c r="E31" s="54"/>
      <c r="F31" s="54"/>
    </row>
    <row r="32" spans="1:6" ht="15" thickBot="1" x14ac:dyDescent="0.4">
      <c r="A32" s="57"/>
      <c r="B32" s="54"/>
      <c r="C32" s="54"/>
      <c r="D32" s="55"/>
      <c r="E32" s="54"/>
      <c r="F32" s="54"/>
    </row>
    <row r="33" spans="1:6" ht="15" thickBot="1" x14ac:dyDescent="0.4">
      <c r="A33" s="73" t="s">
        <v>57</v>
      </c>
      <c r="B33" s="73" t="s">
        <v>85</v>
      </c>
      <c r="C33" s="73" t="s">
        <v>41</v>
      </c>
      <c r="D33" s="73" t="s">
        <v>86</v>
      </c>
      <c r="E33" s="73" t="s">
        <v>43</v>
      </c>
      <c r="F33" s="54"/>
    </row>
    <row r="34" spans="1:6" x14ac:dyDescent="0.35">
      <c r="A34" s="63" t="s">
        <v>55</v>
      </c>
      <c r="B34" s="70">
        <f>FNPV</f>
        <v>2149.5217585367518</v>
      </c>
      <c r="C34" s="77">
        <f>FIRR</f>
        <v>0.11066572456360646</v>
      </c>
      <c r="D34" s="70">
        <f>DiscountedPBP</f>
        <v>14.2</v>
      </c>
      <c r="E34" s="70">
        <f>FBCR</f>
        <v>1.1302014727354981</v>
      </c>
      <c r="F34" s="54"/>
    </row>
    <row r="35" spans="1:6" x14ac:dyDescent="0.35">
      <c r="A35" s="63">
        <v>12608.6042</v>
      </c>
      <c r="B35" s="63">
        <f t="dataTable" ref="B35:E37" dt2D="0" dtr="0" r1="C6" ca="1"/>
        <v>4625.9013033021138</v>
      </c>
      <c r="C35" s="64">
        <v>0.14065573657179486</v>
      </c>
      <c r="D35" s="63">
        <v>10.18</v>
      </c>
      <c r="E35" s="63">
        <v>1.3296487914535275</v>
      </c>
      <c r="F35" s="54"/>
    </row>
    <row r="36" spans="1:6" x14ac:dyDescent="0.35">
      <c r="A36" s="63">
        <v>14833.652</v>
      </c>
      <c r="B36" s="63">
        <v>2149.5217585367518</v>
      </c>
      <c r="C36" s="64">
        <v>0.11066572456360646</v>
      </c>
      <c r="D36" s="63">
        <v>14.2</v>
      </c>
      <c r="E36" s="63">
        <v>1.1302014727354981</v>
      </c>
      <c r="F36" s="54"/>
    </row>
    <row r="37" spans="1:6" ht="15" thickBot="1" x14ac:dyDescent="0.4">
      <c r="A37" s="76">
        <v>17058.699799999999</v>
      </c>
      <c r="B37" s="76">
        <v>-326.85778622860624</v>
      </c>
      <c r="C37" s="65">
        <v>8.7183534179907207E-2</v>
      </c>
      <c r="D37" s="76" t="str">
        <v>&gt;20</v>
      </c>
      <c r="E37" s="76">
        <v>0.98278388933521621</v>
      </c>
      <c r="F37" s="54"/>
    </row>
    <row r="38" spans="1:6" x14ac:dyDescent="0.35">
      <c r="A38" s="54"/>
      <c r="B38" s="54"/>
      <c r="C38" s="55"/>
      <c r="D38" s="54"/>
      <c r="E38" s="54"/>
    </row>
    <row r="39" spans="1:6" x14ac:dyDescent="0.35">
      <c r="A39" s="54"/>
      <c r="B39" s="54"/>
      <c r="C39" s="55"/>
      <c r="D39" s="54"/>
      <c r="E39" s="54"/>
    </row>
    <row r="40" spans="1:6" x14ac:dyDescent="0.35">
      <c r="A40" s="60" t="s">
        <v>46</v>
      </c>
      <c r="B40" s="38"/>
      <c r="C40" s="38"/>
    </row>
    <row r="41" spans="1:6" ht="15" thickBot="1" x14ac:dyDescent="0.4">
      <c r="A41" s="56"/>
    </row>
    <row r="42" spans="1:6" ht="15" thickBot="1" x14ac:dyDescent="0.4">
      <c r="A42" s="73" t="s">
        <v>58</v>
      </c>
      <c r="B42" s="73" t="s">
        <v>85</v>
      </c>
      <c r="C42" s="73" t="s">
        <v>41</v>
      </c>
      <c r="D42" s="73" t="s">
        <v>86</v>
      </c>
      <c r="E42" s="73" t="s">
        <v>43</v>
      </c>
    </row>
    <row r="43" spans="1:6" x14ac:dyDescent="0.35">
      <c r="A43" s="63" t="s">
        <v>59</v>
      </c>
      <c r="B43" s="70">
        <f>FNPV</f>
        <v>2149.5217585367518</v>
      </c>
      <c r="C43" s="77">
        <f>FIRR</f>
        <v>0.11066572456360646</v>
      </c>
      <c r="D43" s="70">
        <f>DiscountedPBP</f>
        <v>14.2</v>
      </c>
      <c r="E43" s="70">
        <f>FBCR</f>
        <v>1.1302014727354981</v>
      </c>
    </row>
    <row r="44" spans="1:6" x14ac:dyDescent="0.35">
      <c r="A44" s="77">
        <v>9.7999999999999997E-3</v>
      </c>
      <c r="B44" s="70">
        <f t="dataTable" ref="B44:E46" dt2D="0" dtr="0" r1="C7" ca="1"/>
        <v>2183.0326578387999</v>
      </c>
      <c r="C44" s="77">
        <v>0.11097377449337142</v>
      </c>
      <c r="D44" s="70">
        <v>14.14</v>
      </c>
      <c r="E44" s="70">
        <v>1.1325002582059551</v>
      </c>
    </row>
    <row r="45" spans="1:6" x14ac:dyDescent="0.35">
      <c r="A45" s="77">
        <v>0.01</v>
      </c>
      <c r="B45" s="70">
        <v>2149.5217585367518</v>
      </c>
      <c r="C45" s="77">
        <v>0.11066572456360646</v>
      </c>
      <c r="D45" s="70">
        <v>14.2</v>
      </c>
      <c r="E45" s="70">
        <v>1.1302014727354981</v>
      </c>
    </row>
    <row r="46" spans="1:6" ht="15" thickBot="1" x14ac:dyDescent="0.4">
      <c r="A46" s="83">
        <v>1.2E-2</v>
      </c>
      <c r="B46" s="71">
        <v>1814.4127655162733</v>
      </c>
      <c r="C46" s="83">
        <v>0.10756373832869137</v>
      </c>
      <c r="D46" s="71">
        <v>14.79</v>
      </c>
      <c r="E46" s="71">
        <v>1.1077166830160379</v>
      </c>
    </row>
    <row r="49" spans="1:5" x14ac:dyDescent="0.35">
      <c r="A49" s="60" t="s">
        <v>62</v>
      </c>
      <c r="B49" s="38"/>
      <c r="C49" s="38"/>
    </row>
    <row r="50" spans="1:5" ht="15" thickBot="1" x14ac:dyDescent="0.4"/>
    <row r="51" spans="1:5" ht="15" thickBot="1" x14ac:dyDescent="0.4">
      <c r="A51" s="73" t="s">
        <v>61</v>
      </c>
      <c r="B51" s="73" t="s">
        <v>85</v>
      </c>
      <c r="C51" s="73" t="s">
        <v>41</v>
      </c>
      <c r="D51" s="73" t="s">
        <v>86</v>
      </c>
      <c r="E51" s="73" t="s">
        <v>43</v>
      </c>
    </row>
    <row r="52" spans="1:5" x14ac:dyDescent="0.35">
      <c r="A52" s="63" t="s">
        <v>60</v>
      </c>
      <c r="B52" s="70">
        <f>FNPV</f>
        <v>2149.5217585367518</v>
      </c>
      <c r="C52" s="86">
        <f>FIRR</f>
        <v>0.11066572456360646</v>
      </c>
      <c r="D52" s="70">
        <f>DiscountedPBP</f>
        <v>14.2</v>
      </c>
      <c r="E52" s="70">
        <f>FBCR</f>
        <v>1.1302014727354981</v>
      </c>
    </row>
    <row r="53" spans="1:5" x14ac:dyDescent="0.35">
      <c r="A53" s="84">
        <v>0.02</v>
      </c>
      <c r="B53" s="70">
        <f t="dataTable" ref="B53:E55" dt2D="0" dtr="0" r1="C8" ca="1"/>
        <v>2267.8276396543633</v>
      </c>
      <c r="C53" s="86">
        <v>0.11166886757877115</v>
      </c>
      <c r="D53" s="70">
        <v>14.05</v>
      </c>
      <c r="E53" s="70">
        <v>1.1383590207533141</v>
      </c>
    </row>
    <row r="54" spans="1:5" x14ac:dyDescent="0.35">
      <c r="A54" s="84">
        <v>0.03</v>
      </c>
      <c r="B54" s="70">
        <v>2149.5217585367518</v>
      </c>
      <c r="C54" s="86">
        <v>0.11066572456360646</v>
      </c>
      <c r="D54" s="70">
        <v>14.2</v>
      </c>
      <c r="E54" s="70">
        <v>1.1302014727354981</v>
      </c>
    </row>
    <row r="55" spans="1:5" ht="15" thickBot="1" x14ac:dyDescent="0.4">
      <c r="A55" s="85">
        <v>0.05</v>
      </c>
      <c r="B55" s="71">
        <v>1872.3286929327282</v>
      </c>
      <c r="C55" s="87">
        <v>0.10828333526201739</v>
      </c>
      <c r="D55" s="71">
        <v>14.56</v>
      </c>
      <c r="E55" s="71">
        <v>1.1115384957401673</v>
      </c>
    </row>
    <row r="56" spans="1:5" x14ac:dyDescent="0.35">
      <c r="A56" s="58"/>
      <c r="C56" s="59"/>
    </row>
    <row r="58" spans="1:5" x14ac:dyDescent="0.35">
      <c r="A58" s="60" t="s">
        <v>63</v>
      </c>
      <c r="B58" s="38"/>
      <c r="C58" s="38"/>
    </row>
    <row r="59" spans="1:5" ht="15" thickBot="1" x14ac:dyDescent="0.4"/>
    <row r="60" spans="1:5" ht="15" thickBot="1" x14ac:dyDescent="0.4">
      <c r="A60" s="73" t="s">
        <v>64</v>
      </c>
      <c r="B60" s="73" t="s">
        <v>40</v>
      </c>
    </row>
    <row r="61" spans="1:5" x14ac:dyDescent="0.35">
      <c r="A61" s="84">
        <v>-0.1</v>
      </c>
      <c r="B61" s="70">
        <f>$C$9*(1+A61)</f>
        <v>162</v>
      </c>
    </row>
    <row r="62" spans="1:5" x14ac:dyDescent="0.35">
      <c r="A62" s="70">
        <v>0</v>
      </c>
      <c r="B62" s="70">
        <f t="shared" ref="B62:B63" si="0">$C$9*(1+A62)</f>
        <v>180</v>
      </c>
    </row>
    <row r="63" spans="1:5" ht="15" thickBot="1" x14ac:dyDescent="0.4">
      <c r="A63" s="85">
        <v>0.1</v>
      </c>
      <c r="B63" s="71">
        <f t="shared" si="0"/>
        <v>198.00000000000003</v>
      </c>
    </row>
    <row r="64" spans="1:5" ht="15" thickBot="1" x14ac:dyDescent="0.4"/>
    <row r="65" spans="1:5" ht="15" thickBot="1" x14ac:dyDescent="0.4">
      <c r="A65" s="73" t="s">
        <v>40</v>
      </c>
      <c r="B65" s="73" t="s">
        <v>85</v>
      </c>
      <c r="C65" s="73" t="s">
        <v>41</v>
      </c>
      <c r="D65" s="73" t="s">
        <v>86</v>
      </c>
      <c r="E65" s="73" t="s">
        <v>43</v>
      </c>
    </row>
    <row r="66" spans="1:5" x14ac:dyDescent="0.35">
      <c r="A66" s="63" t="s">
        <v>47</v>
      </c>
      <c r="B66" s="70">
        <f>FNPV</f>
        <v>2149.5217585367518</v>
      </c>
      <c r="C66" s="86">
        <f>FIRR</f>
        <v>0.11066572456360646</v>
      </c>
      <c r="D66" s="70">
        <f>DiscountedPBP</f>
        <v>14.2</v>
      </c>
      <c r="E66" s="70">
        <f>FBCR</f>
        <v>1.1302014727354981</v>
      </c>
    </row>
    <row r="67" spans="1:5" x14ac:dyDescent="0.35">
      <c r="A67" s="70">
        <v>162</v>
      </c>
      <c r="B67" s="70">
        <v>283.649886172837</v>
      </c>
      <c r="C67" s="77">
        <v>9.2789370465081511E-2</v>
      </c>
      <c r="D67" s="70">
        <v>18.899999999999999</v>
      </c>
      <c r="E67" s="70">
        <v>1.0171813254619479</v>
      </c>
    </row>
    <row r="68" spans="1:5" x14ac:dyDescent="0.35">
      <c r="A68" s="70">
        <v>180</v>
      </c>
      <c r="B68" s="70">
        <v>2149.5217585367518</v>
      </c>
      <c r="C68" s="77">
        <v>0.11066572456360646</v>
      </c>
      <c r="D68" s="70">
        <v>14.2</v>
      </c>
      <c r="E68" s="70">
        <v>1.1302014727354981</v>
      </c>
    </row>
    <row r="69" spans="1:5" ht="15" thickBot="1" x14ac:dyDescent="0.4">
      <c r="A69" s="71">
        <v>198.00000000000003</v>
      </c>
      <c r="B69" s="71">
        <f t="dataTable" ref="B69:E69" dt2D="0" dtr="0" r1="C9"/>
        <v>2149.5217585367518</v>
      </c>
      <c r="C69" s="83">
        <v>0.11066572456360646</v>
      </c>
      <c r="D69" s="71">
        <v>14.2</v>
      </c>
      <c r="E69" s="71">
        <v>1.1302014727354981</v>
      </c>
    </row>
    <row r="72" spans="1:5" x14ac:dyDescent="0.35">
      <c r="A72" s="60" t="s">
        <v>65</v>
      </c>
      <c r="B72" s="38"/>
      <c r="C72" s="38"/>
    </row>
    <row r="73" spans="1:5" ht="15" thickBot="1" x14ac:dyDescent="0.4"/>
    <row r="74" spans="1:5" ht="15" thickBot="1" x14ac:dyDescent="0.4">
      <c r="A74" s="73" t="s">
        <v>48</v>
      </c>
      <c r="B74" s="73" t="s">
        <v>85</v>
      </c>
      <c r="C74" s="73" t="s">
        <v>41</v>
      </c>
      <c r="D74" s="73" t="s">
        <v>86</v>
      </c>
      <c r="E74" s="73" t="s">
        <v>43</v>
      </c>
    </row>
    <row r="75" spans="1:5" x14ac:dyDescent="0.35">
      <c r="A75" s="88" t="s">
        <v>49</v>
      </c>
      <c r="B75" s="69">
        <f>FNPV</f>
        <v>2149.5217585367518</v>
      </c>
      <c r="C75" s="89">
        <f>FIRR</f>
        <v>0.11066572456360646</v>
      </c>
      <c r="D75" s="69">
        <f>DiscountedPBP</f>
        <v>14.2</v>
      </c>
      <c r="E75" s="69">
        <f>FBCR</f>
        <v>1.1302014727354981</v>
      </c>
    </row>
    <row r="76" spans="1:5" x14ac:dyDescent="0.35">
      <c r="A76" s="84">
        <v>7.0000000000000007E-2</v>
      </c>
      <c r="B76" s="70">
        <f t="dataTable" ref="B76:E78" dt2D="0" dtr="0" r1="C10"/>
        <v>4760.436938034798</v>
      </c>
      <c r="C76" s="77">
        <v>0.11066572456360646</v>
      </c>
      <c r="D76" s="70">
        <v>11.66</v>
      </c>
      <c r="E76" s="70">
        <v>1.2831701475897177</v>
      </c>
    </row>
    <row r="77" spans="1:5" x14ac:dyDescent="0.35">
      <c r="A77" s="84">
        <v>0.09</v>
      </c>
      <c r="B77" s="70">
        <v>2149.5217585367518</v>
      </c>
      <c r="C77" s="77">
        <v>0.11066572456360646</v>
      </c>
      <c r="D77" s="70">
        <v>14.2</v>
      </c>
      <c r="E77" s="70">
        <v>1.1302014727354981</v>
      </c>
    </row>
    <row r="78" spans="1:5" ht="15" thickBot="1" x14ac:dyDescent="0.4">
      <c r="A78" s="85">
        <v>0.11</v>
      </c>
      <c r="B78" s="71">
        <v>62.066365791609854</v>
      </c>
      <c r="C78" s="83">
        <v>0.11066572456360646</v>
      </c>
      <c r="D78" s="71">
        <v>19.690000000000001</v>
      </c>
      <c r="E78" s="71">
        <v>1.0038141919460122</v>
      </c>
    </row>
    <row r="81" spans="1:14" x14ac:dyDescent="0.35">
      <c r="A81" s="60" t="s">
        <v>67</v>
      </c>
      <c r="B81" s="38"/>
      <c r="C81" s="38"/>
    </row>
    <row r="82" spans="1:14" ht="15" thickBot="1" x14ac:dyDescent="0.4"/>
    <row r="83" spans="1:14" ht="15" thickBot="1" x14ac:dyDescent="0.4">
      <c r="A83" s="112" t="s">
        <v>68</v>
      </c>
      <c r="B83" s="113"/>
      <c r="C83" s="73" t="s">
        <v>69</v>
      </c>
      <c r="D83" s="73" t="s">
        <v>70</v>
      </c>
      <c r="E83" s="73" t="s">
        <v>71</v>
      </c>
      <c r="F83" s="73" t="s">
        <v>72</v>
      </c>
      <c r="G83" s="99" t="s">
        <v>73</v>
      </c>
      <c r="H83" s="74"/>
      <c r="I83" s="74"/>
      <c r="J83" s="74"/>
      <c r="K83" s="74"/>
      <c r="L83" s="74"/>
      <c r="M83" s="74"/>
      <c r="N83" s="9"/>
    </row>
    <row r="84" spans="1:14" x14ac:dyDescent="0.35">
      <c r="A84" s="90" t="s">
        <v>3</v>
      </c>
      <c r="B84" s="54"/>
      <c r="C84" s="98">
        <f>C5</f>
        <v>14</v>
      </c>
      <c r="D84" s="75" t="s">
        <v>74</v>
      </c>
      <c r="E84" s="95">
        <f>(MAX(B21:B23)-MIN(B21:B23))/(0.2*FNPV)</f>
        <v>8.6804046758478695</v>
      </c>
      <c r="F84" s="93" t="str">
        <f>IF(E84&lt;0.5,"Low",IF(E84&lt;1,"Moderate","High"))</f>
        <v>High</v>
      </c>
      <c r="G84" t="s">
        <v>84</v>
      </c>
      <c r="N84" s="17"/>
    </row>
    <row r="85" spans="1:14" x14ac:dyDescent="0.35">
      <c r="A85" s="90" t="s">
        <v>51</v>
      </c>
      <c r="B85" s="54"/>
      <c r="C85" s="98">
        <f t="shared" ref="C85:C89" si="1">C6</f>
        <v>14833.652</v>
      </c>
      <c r="D85" s="75" t="s">
        <v>75</v>
      </c>
      <c r="E85" s="95">
        <f>(MAX(B35:B37)-MIN(B35:B37))/(0.3*FNPV)</f>
        <v>7.6804046758478695</v>
      </c>
      <c r="F85" s="93" t="str">
        <f t="shared" ref="F85:F89" si="2">IF(E85&lt;0.5,"Low",IF(E85&lt;1,"Moderate","High"))</f>
        <v>High</v>
      </c>
      <c r="G85" t="s">
        <v>83</v>
      </c>
      <c r="N85" s="17"/>
    </row>
    <row r="86" spans="1:14" x14ac:dyDescent="0.35">
      <c r="A86" s="90" t="s">
        <v>39</v>
      </c>
      <c r="B86" s="54"/>
      <c r="C86" s="77">
        <f t="shared" si="1"/>
        <v>0.01</v>
      </c>
      <c r="D86" s="75" t="s">
        <v>76</v>
      </c>
      <c r="E86" s="95">
        <f>(MAX(B44:B46)-MIN(B44:B46))/(0.4*FNPV)</f>
        <v>0.42872314604232931</v>
      </c>
      <c r="F86" s="93" t="str">
        <f t="shared" si="2"/>
        <v>Low</v>
      </c>
      <c r="G86" t="s">
        <v>82</v>
      </c>
      <c r="N86" s="17"/>
    </row>
    <row r="87" spans="1:14" x14ac:dyDescent="0.35">
      <c r="A87" s="90" t="s">
        <v>5</v>
      </c>
      <c r="B87" s="57"/>
      <c r="C87" s="77">
        <f t="shared" si="1"/>
        <v>0.03</v>
      </c>
      <c r="D87" s="75" t="s">
        <v>78</v>
      </c>
      <c r="E87" s="95">
        <f>(MAX(B53:B55)-MIN(B53:B55))/(FNPV)</f>
        <v>0.18399392569576214</v>
      </c>
      <c r="F87" s="93" t="str">
        <f t="shared" si="2"/>
        <v>Low</v>
      </c>
      <c r="G87" t="s">
        <v>81</v>
      </c>
      <c r="N87" s="17"/>
    </row>
    <row r="88" spans="1:14" x14ac:dyDescent="0.35">
      <c r="A88" s="90" t="s">
        <v>52</v>
      </c>
      <c r="B88" s="54"/>
      <c r="C88" s="98">
        <f t="shared" si="1"/>
        <v>180</v>
      </c>
      <c r="D88" s="75" t="s">
        <v>74</v>
      </c>
      <c r="E88" s="95">
        <f>(MAX(B67:B69)-MIN(B67:B69))/(0.2*FNPV)</f>
        <v>4.340202337923933</v>
      </c>
      <c r="F88" s="93" t="str">
        <f t="shared" si="2"/>
        <v>High</v>
      </c>
      <c r="G88" t="s">
        <v>80</v>
      </c>
      <c r="N88" s="17"/>
    </row>
    <row r="89" spans="1:14" ht="15" thickBot="1" x14ac:dyDescent="0.4">
      <c r="A89" s="37" t="s">
        <v>48</v>
      </c>
      <c r="B89" s="91"/>
      <c r="C89" s="83">
        <f t="shared" si="1"/>
        <v>0.09</v>
      </c>
      <c r="D89" s="97" t="s">
        <v>77</v>
      </c>
      <c r="E89" s="96">
        <f>(MAX(B76:B78)-MIN(B76:B78))/(4/9*FNPV)</f>
        <v>4.9179933841392787</v>
      </c>
      <c r="F89" s="94" t="str">
        <f t="shared" si="2"/>
        <v>High</v>
      </c>
      <c r="G89" s="92" t="s">
        <v>79</v>
      </c>
      <c r="H89" s="92"/>
      <c r="I89" s="92"/>
      <c r="J89" s="92"/>
      <c r="K89" s="92"/>
      <c r="L89" s="92"/>
      <c r="M89" s="92"/>
      <c r="N89" s="68"/>
    </row>
    <row r="92" spans="1:14" x14ac:dyDescent="0.35">
      <c r="E92" s="40"/>
      <c r="F92" s="40"/>
    </row>
    <row r="93" spans="1:14" x14ac:dyDescent="0.35">
      <c r="E93" s="40"/>
      <c r="F93" s="40"/>
    </row>
    <row r="94" spans="1:14" x14ac:dyDescent="0.35">
      <c r="E94" s="40"/>
      <c r="F94" s="40"/>
    </row>
    <row r="95" spans="1:14" x14ac:dyDescent="0.35">
      <c r="E95" s="40"/>
      <c r="F95" s="40"/>
    </row>
    <row r="96" spans="1:14" x14ac:dyDescent="0.35">
      <c r="E96" s="40"/>
      <c r="F96" s="40"/>
    </row>
    <row r="97" spans="5:6" x14ac:dyDescent="0.35">
      <c r="E97" s="40"/>
      <c r="F97" s="40"/>
    </row>
  </sheetData>
  <mergeCells count="8">
    <mergeCell ref="A83:B83"/>
    <mergeCell ref="A1:F1"/>
    <mergeCell ref="A5:B5"/>
    <mergeCell ref="A8:B8"/>
    <mergeCell ref="A10:B10"/>
    <mergeCell ref="A9:B9"/>
    <mergeCell ref="A7:B7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FBCA</vt:lpstr>
      <vt:lpstr>Sensitivity_Analysis</vt:lpstr>
      <vt:lpstr>CapitalCost</vt:lpstr>
      <vt:lpstr>DiscountedPBP</vt:lpstr>
      <vt:lpstr>DiscountRate</vt:lpstr>
      <vt:lpstr>EfficiencyDerate</vt:lpstr>
      <vt:lpstr>FBCR</vt:lpstr>
      <vt:lpstr>FIRR</vt:lpstr>
      <vt:lpstr>FNPV</vt:lpstr>
      <vt:lpstr>Generation</vt:lpstr>
      <vt:lpstr>ModuleDegradation</vt:lpstr>
      <vt:lpstr>OandMescalation</vt:lpstr>
      <vt:lpstr>OandMyr0</vt:lpstr>
      <vt:lpstr>ProjectDuration</vt:lpstr>
      <vt:lpstr>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H.P.Sandun Premakumara</cp:lastModifiedBy>
  <dcterms:created xsi:type="dcterms:W3CDTF">2025-10-04T15:32:28Z</dcterms:created>
  <dcterms:modified xsi:type="dcterms:W3CDTF">2025-10-06T05:36:09Z</dcterms:modified>
</cp:coreProperties>
</file>
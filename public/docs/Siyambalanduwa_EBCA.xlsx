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ma\Desktop\Our group project\"/>
    </mc:Choice>
  </mc:AlternateContent>
  <xr:revisionPtr revIDLastSave="0" documentId="13_ncr:1_{80737B5C-7B7F-4CB2-9C94-2EDA53B8F2C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BCA" sheetId="1" r:id="rId1"/>
  </sheets>
  <externalReferences>
    <externalReference r:id="rId2"/>
  </externalReferences>
  <definedNames>
    <definedName name="AvoidFuelCost">EBCA!$B$12</definedName>
    <definedName name="CapitalCost">EBCA!$B$24</definedName>
    <definedName name="CO2Avoided">EBCA!$B$9</definedName>
    <definedName name="DiscountedEPBP">EBCA!$C$85</definedName>
    <definedName name="DiscountedPBP">[1]FBCA!$C$57</definedName>
    <definedName name="DiscountRate">EBCA!$B$5</definedName>
    <definedName name="EBCR">EBCA!$C$83</definedName>
    <definedName name="EfficiencyDerate">EBCA!$B$14</definedName>
    <definedName name="EIRR">EBCA!$C$84</definedName>
    <definedName name="EmpIncomePerJob">EBCA!$B$19</definedName>
    <definedName name="EmpJobsAfteryr0">EBCA!$B$17</definedName>
    <definedName name="EmpJobsForyr0">EBCA!$B$18</definedName>
    <definedName name="ENPV">EBCA!$C$82</definedName>
    <definedName name="EnvBenifit">EBCA!$B$11</definedName>
    <definedName name="EnvImpactCostyr0">EBCA!$B$21</definedName>
    <definedName name="FBCR">[1]FBCA!$C$55</definedName>
    <definedName name="FIRR">[1]FBCA!$C$56</definedName>
    <definedName name="FNPV">[1]FBCA!$C$54</definedName>
    <definedName name="Generation">EBCA!$B$13</definedName>
    <definedName name="LossOfRoyaltyRevenue">EBCA!$B$20</definedName>
    <definedName name="ModuleDegradation">EBCA!$B$16</definedName>
    <definedName name="OandMescalation">EBCA!$B$22</definedName>
    <definedName name="OandMyr1">EBCA!$B$23</definedName>
    <definedName name="ShadowExchRateFact">EBCA!$B$8</definedName>
    <definedName name="ShadWageRateFac">EBCA!$B$7</definedName>
    <definedName name="SimpleEPBP">EBCA!$C$86</definedName>
    <definedName name="SocialCostOfCarbon">EBCA!$B$10</definedName>
    <definedName name="StandConvFact">EBCA!$B$6</definedName>
    <definedName name="Tariff">EBCA!$B$15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C54" i="1"/>
  <c r="C48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D45" i="1"/>
  <c r="B54" i="1" l="1"/>
  <c r="B45" i="1"/>
  <c r="B36" i="1"/>
  <c r="B37" i="1"/>
  <c r="B35" i="1"/>
  <c r="D37" i="1" l="1"/>
  <c r="D36" i="1"/>
  <c r="D35" i="1"/>
  <c r="D32" i="1"/>
  <c r="D31" i="1"/>
  <c r="D30" i="1"/>
  <c r="C46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C53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C47" i="1"/>
  <c r="D43" i="1"/>
  <c r="E43" i="1" s="1"/>
  <c r="E46" i="1" s="1"/>
  <c r="B30" i="1"/>
  <c r="B31" i="1"/>
  <c r="B32" i="1"/>
  <c r="J47" i="1"/>
  <c r="B48" i="1" l="1"/>
  <c r="D46" i="1"/>
  <c r="C49" i="1"/>
  <c r="C61" i="1" s="1"/>
  <c r="Q47" i="1"/>
  <c r="P47" i="1"/>
  <c r="O47" i="1"/>
  <c r="R47" i="1"/>
  <c r="I47" i="1"/>
  <c r="H47" i="1"/>
  <c r="W47" i="1"/>
  <c r="G47" i="1"/>
  <c r="F43" i="1"/>
  <c r="F46" i="1" s="1"/>
  <c r="V47" i="1"/>
  <c r="N47" i="1"/>
  <c r="F47" i="1"/>
  <c r="U47" i="1"/>
  <c r="M47" i="1"/>
  <c r="E47" i="1"/>
  <c r="T47" i="1"/>
  <c r="L47" i="1"/>
  <c r="D47" i="1"/>
  <c r="S47" i="1"/>
  <c r="K47" i="1"/>
  <c r="E37" i="1"/>
  <c r="E31" i="1"/>
  <c r="E36" i="1"/>
  <c r="E32" i="1"/>
  <c r="E35" i="1"/>
  <c r="E30" i="1"/>
  <c r="B47" i="1" l="1"/>
  <c r="E49" i="1"/>
  <c r="E61" i="1" s="1"/>
  <c r="D49" i="1"/>
  <c r="D61" i="1" s="1"/>
  <c r="G43" i="1"/>
  <c r="G46" i="1" s="1"/>
  <c r="F49" i="1"/>
  <c r="F61" i="1" s="1"/>
  <c r="E38" i="1"/>
  <c r="D52" i="1" s="1"/>
  <c r="E33" i="1"/>
  <c r="C51" i="1" s="1"/>
  <c r="B53" i="1"/>
  <c r="E52" i="1" l="1"/>
  <c r="D55" i="1"/>
  <c r="D57" i="1" s="1"/>
  <c r="C55" i="1"/>
  <c r="C57" i="1" s="1"/>
  <c r="B51" i="1"/>
  <c r="H43" i="1"/>
  <c r="H46" i="1" s="1"/>
  <c r="G49" i="1"/>
  <c r="G61" i="1" s="1"/>
  <c r="C62" i="1" l="1"/>
  <c r="D62" i="1"/>
  <c r="D63" i="1"/>
  <c r="E55" i="1"/>
  <c r="E57" i="1" s="1"/>
  <c r="F52" i="1"/>
  <c r="I43" i="1"/>
  <c r="I46" i="1" s="1"/>
  <c r="H49" i="1"/>
  <c r="H61" i="1" s="1"/>
  <c r="E62" i="1" l="1"/>
  <c r="C63" i="1"/>
  <c r="C64" i="1" s="1"/>
  <c r="E63" i="1"/>
  <c r="C74" i="1"/>
  <c r="G52" i="1"/>
  <c r="F55" i="1"/>
  <c r="F57" i="1" s="1"/>
  <c r="J43" i="1"/>
  <c r="J46" i="1" s="1"/>
  <c r="I49" i="1"/>
  <c r="I61" i="1" s="1"/>
  <c r="F62" i="1" l="1"/>
  <c r="D64" i="1"/>
  <c r="D68" i="1" s="1"/>
  <c r="C68" i="1"/>
  <c r="H52" i="1"/>
  <c r="G55" i="1"/>
  <c r="G57" i="1" s="1"/>
  <c r="F63" i="1"/>
  <c r="D74" i="1"/>
  <c r="E74" i="1" s="1"/>
  <c r="F74" i="1" s="1"/>
  <c r="K43" i="1"/>
  <c r="K46" i="1" s="1"/>
  <c r="J49" i="1"/>
  <c r="J61" i="1" s="1"/>
  <c r="E64" i="1" l="1"/>
  <c r="E68" i="1" s="1"/>
  <c r="G62" i="1"/>
  <c r="I52" i="1"/>
  <c r="H55" i="1"/>
  <c r="H57" i="1" s="1"/>
  <c r="L43" i="1"/>
  <c r="L46" i="1" s="1"/>
  <c r="K49" i="1"/>
  <c r="K61" i="1" s="1"/>
  <c r="F64" i="1" l="1"/>
  <c r="F68" i="1" s="1"/>
  <c r="H62" i="1"/>
  <c r="G74" i="1"/>
  <c r="G63" i="1"/>
  <c r="H63" i="1"/>
  <c r="J52" i="1"/>
  <c r="I55" i="1"/>
  <c r="I57" i="1" s="1"/>
  <c r="M43" i="1"/>
  <c r="M46" i="1" s="1"/>
  <c r="L49" i="1"/>
  <c r="L61" i="1" s="1"/>
  <c r="G64" i="1" l="1"/>
  <c r="G68" i="1" s="1"/>
  <c r="I62" i="1"/>
  <c r="I63" i="1"/>
  <c r="K52" i="1"/>
  <c r="J55" i="1"/>
  <c r="J57" i="1" s="1"/>
  <c r="H74" i="1"/>
  <c r="N43" i="1"/>
  <c r="N46" i="1" s="1"/>
  <c r="M49" i="1"/>
  <c r="M61" i="1" s="1"/>
  <c r="H64" i="1" l="1"/>
  <c r="H68" i="1" s="1"/>
  <c r="J62" i="1"/>
  <c r="I74" i="1"/>
  <c r="J63" i="1"/>
  <c r="L52" i="1"/>
  <c r="K55" i="1"/>
  <c r="K57" i="1" s="1"/>
  <c r="O43" i="1"/>
  <c r="O46" i="1" s="1"/>
  <c r="N49" i="1"/>
  <c r="N61" i="1" s="1"/>
  <c r="I64" i="1" l="1"/>
  <c r="I68" i="1" s="1"/>
  <c r="K62" i="1"/>
  <c r="J74" i="1"/>
  <c r="K63" i="1"/>
  <c r="M52" i="1"/>
  <c r="L55" i="1"/>
  <c r="L57" i="1" s="1"/>
  <c r="P43" i="1"/>
  <c r="P46" i="1" s="1"/>
  <c r="O49" i="1"/>
  <c r="O61" i="1" s="1"/>
  <c r="J64" i="1" l="1"/>
  <c r="K64" i="1" s="1"/>
  <c r="L62" i="1"/>
  <c r="K74" i="1"/>
  <c r="L63" i="1"/>
  <c r="N52" i="1"/>
  <c r="M55" i="1"/>
  <c r="M57" i="1" s="1"/>
  <c r="Q43" i="1"/>
  <c r="Q46" i="1" s="1"/>
  <c r="P49" i="1"/>
  <c r="P61" i="1" s="1"/>
  <c r="J68" i="1" l="1"/>
  <c r="M62" i="1"/>
  <c r="L74" i="1"/>
  <c r="M63" i="1"/>
  <c r="O52" i="1"/>
  <c r="N55" i="1"/>
  <c r="N57" i="1" s="1"/>
  <c r="R43" i="1"/>
  <c r="R46" i="1" s="1"/>
  <c r="Q49" i="1"/>
  <c r="Q61" i="1" s="1"/>
  <c r="L64" i="1"/>
  <c r="K68" i="1"/>
  <c r="N62" i="1" l="1"/>
  <c r="M74" i="1"/>
  <c r="N63" i="1"/>
  <c r="P52" i="1"/>
  <c r="O55" i="1"/>
  <c r="O57" i="1" s="1"/>
  <c r="S43" i="1"/>
  <c r="S46" i="1" s="1"/>
  <c r="R49" i="1"/>
  <c r="R61" i="1" s="1"/>
  <c r="M64" i="1"/>
  <c r="L68" i="1"/>
  <c r="O62" i="1" l="1"/>
  <c r="O63" i="1"/>
  <c r="N74" i="1"/>
  <c r="Q52" i="1"/>
  <c r="P55" i="1"/>
  <c r="P57" i="1" s="1"/>
  <c r="T43" i="1"/>
  <c r="T46" i="1" s="1"/>
  <c r="S49" i="1"/>
  <c r="S61" i="1" s="1"/>
  <c r="N64" i="1"/>
  <c r="M68" i="1"/>
  <c r="P62" i="1" l="1"/>
  <c r="O74" i="1"/>
  <c r="R52" i="1"/>
  <c r="Q55" i="1"/>
  <c r="Q57" i="1" s="1"/>
  <c r="P63" i="1"/>
  <c r="U43" i="1"/>
  <c r="U46" i="1" s="1"/>
  <c r="T49" i="1"/>
  <c r="T61" i="1" s="1"/>
  <c r="O64" i="1"/>
  <c r="N68" i="1"/>
  <c r="Q62" i="1" l="1"/>
  <c r="Q63" i="1"/>
  <c r="S52" i="1"/>
  <c r="R55" i="1"/>
  <c r="R57" i="1" s="1"/>
  <c r="P74" i="1"/>
  <c r="V43" i="1"/>
  <c r="V46" i="1" s="1"/>
  <c r="U49" i="1"/>
  <c r="U61" i="1" s="1"/>
  <c r="P64" i="1"/>
  <c r="O68" i="1"/>
  <c r="R62" i="1" l="1"/>
  <c r="Q74" i="1"/>
  <c r="T52" i="1"/>
  <c r="S55" i="1"/>
  <c r="S57" i="1" s="1"/>
  <c r="R63" i="1"/>
  <c r="W43" i="1"/>
  <c r="V49" i="1"/>
  <c r="V61" i="1" s="1"/>
  <c r="Q64" i="1"/>
  <c r="P68" i="1"/>
  <c r="W46" i="1" l="1"/>
  <c r="B46" i="1" s="1"/>
  <c r="B43" i="1"/>
  <c r="S62" i="1"/>
  <c r="S63" i="1"/>
  <c r="U52" i="1"/>
  <c r="T55" i="1"/>
  <c r="T57" i="1" s="1"/>
  <c r="R74" i="1"/>
  <c r="R64" i="1"/>
  <c r="Q68" i="1"/>
  <c r="W49" i="1" l="1"/>
  <c r="T62" i="1"/>
  <c r="T63" i="1"/>
  <c r="V52" i="1"/>
  <c r="U55" i="1"/>
  <c r="U57" i="1" s="1"/>
  <c r="S74" i="1"/>
  <c r="S64" i="1"/>
  <c r="R68" i="1"/>
  <c r="W61" i="1" l="1"/>
  <c r="B49" i="1"/>
  <c r="U62" i="1"/>
  <c r="T74" i="1"/>
  <c r="U63" i="1"/>
  <c r="W52" i="1"/>
  <c r="V55" i="1"/>
  <c r="V57" i="1" s="1"/>
  <c r="T64" i="1"/>
  <c r="S68" i="1"/>
  <c r="V62" i="1" l="1"/>
  <c r="W55" i="1"/>
  <c r="W57" i="1" s="1"/>
  <c r="B52" i="1"/>
  <c r="V63" i="1"/>
  <c r="U74" i="1"/>
  <c r="U64" i="1"/>
  <c r="T68" i="1"/>
  <c r="W62" i="1" l="1"/>
  <c r="C83" i="1" s="1"/>
  <c r="B55" i="1"/>
  <c r="W63" i="1"/>
  <c r="C82" i="1" s="1"/>
  <c r="V74" i="1"/>
  <c r="W74" i="1" s="1"/>
  <c r="B57" i="1"/>
  <c r="C84" i="1"/>
  <c r="V64" i="1"/>
  <c r="U68" i="1"/>
  <c r="B75" i="1" l="1" a="1"/>
  <c r="B75" i="1" s="1"/>
  <c r="W64" i="1"/>
  <c r="W68" i="1" s="1"/>
  <c r="V68" i="1"/>
  <c r="B77" i="1" l="1" a="1"/>
  <c r="B77" i="1" s="1"/>
  <c r="B76" i="1" a="1"/>
  <c r="B76" i="1" s="1"/>
  <c r="B69" i="1" a="1"/>
  <c r="B69" i="1" s="1"/>
  <c r="B78" i="1" l="1"/>
  <c r="C86" i="1" s="1"/>
  <c r="B71" i="1" a="1"/>
  <c r="B71" i="1" s="1"/>
  <c r="B70" i="1" a="1"/>
  <c r="B70" i="1" s="1"/>
  <c r="B72" i="1" l="1"/>
  <c r="C8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<sst xmlns="http://schemas.openxmlformats.org/spreadsheetml/2006/main" count="77" uniqueCount="74">
  <si>
    <t>Year</t>
  </si>
  <si>
    <t>Total</t>
  </si>
  <si>
    <t>Discounted Payback Period (years)</t>
  </si>
  <si>
    <t>Simple Payback Period (years)</t>
  </si>
  <si>
    <t>Cumulative Net (undiscounted)</t>
  </si>
  <si>
    <t xml:space="preserve">PBP Index </t>
  </si>
  <si>
    <t xml:space="preserve">Simple PBP Index </t>
  </si>
  <si>
    <t>1. Assumptions &amp; Parameters</t>
  </si>
  <si>
    <t>Last Negative Year</t>
  </si>
  <si>
    <t>Next Year Net Benefit</t>
  </si>
  <si>
    <t>Deficit at Last Negative Year</t>
  </si>
  <si>
    <t>Economic discount rate (real)</t>
  </si>
  <si>
    <t>Standard Conversion Factor (SCF)</t>
  </si>
  <si>
    <t>Shadow Wage Rate Factor (SWRF)</t>
  </si>
  <si>
    <t>Shadow Exchange Rate Factor (SERF)</t>
  </si>
  <si>
    <t>Environmental benefit (LKR mn/year)</t>
  </si>
  <si>
    <t>Avoided fuel cost (LKR/kWh)</t>
  </si>
  <si>
    <t>Annual generation (GWh) (Year 1)</t>
  </si>
  <si>
    <t>Employment income per job (LKR mn/yr)</t>
  </si>
  <si>
    <t>Loss of royalty revenue (LKR mn/yr)</t>
  </si>
  <si>
    <t>O&amp;M escalation (per year)</t>
  </si>
  <si>
    <t>CAPEX total (financial, LKR mn)</t>
  </si>
  <si>
    <t>Item</t>
  </si>
  <si>
    <t>Total CAPEX (Economic)</t>
  </si>
  <si>
    <t>Financial</t>
  </si>
  <si>
    <t>Split</t>
  </si>
  <si>
    <t>Conv</t>
  </si>
  <si>
    <t>Economic</t>
  </si>
  <si>
    <t>Energy (GWh)</t>
  </si>
  <si>
    <t>Total Economic Benefits (LKR mn)</t>
  </si>
  <si>
    <t>Env. Impact Cost One-time (LKR mn)</t>
  </si>
  <si>
    <t>Total Economic Costs (LKR mn)</t>
  </si>
  <si>
    <t>Net Economic Flow (LKR mn)</t>
  </si>
  <si>
    <t>3. Economic Cash Flow Analysis</t>
  </si>
  <si>
    <t>2. Conversion of Financial Costs to Economic Costs</t>
  </si>
  <si>
    <t>4.Present Value Calculations</t>
  </si>
  <si>
    <t>5.Supporting Payback Calculations</t>
  </si>
  <si>
    <t>6.Results Summary</t>
  </si>
  <si>
    <t>Avoided Fuel (LKR mn)</t>
  </si>
  <si>
    <t>CO₂ (LKR mn)</t>
  </si>
  <si>
    <t>Employment (LKR mn)</t>
  </si>
  <si>
    <t>Other / Royalty (LKR mn)</t>
  </si>
  <si>
    <t>CAPEX (LKR mn)</t>
  </si>
  <si>
    <t>O&amp;M (LKR mn)</t>
  </si>
  <si>
    <t>Total O&amp;M (Economic, yr 1)</t>
  </si>
  <si>
    <t xml:space="preserve">CAPEX </t>
  </si>
  <si>
    <t>Foreign component</t>
  </si>
  <si>
    <t>Local goods/services</t>
  </si>
  <si>
    <t>Local labour</t>
  </si>
  <si>
    <t>O&amp;M</t>
  </si>
  <si>
    <t>Foreign content (yr 1)</t>
  </si>
  <si>
    <t>Local goods (yr 1)</t>
  </si>
  <si>
    <t>Local labour (yr 1)</t>
  </si>
  <si>
    <t xml:space="preserve">EPV of Benefits </t>
  </si>
  <si>
    <t xml:space="preserve">EPV of Costs </t>
  </si>
  <si>
    <t>EPV of Net Benefits (LKR mn)</t>
  </si>
  <si>
    <t xml:space="preserve">Cumulative EPV Net </t>
  </si>
  <si>
    <t>Cumulative EPV Net (discounted)</t>
  </si>
  <si>
    <t>ENPV (LKR mn)</t>
  </si>
  <si>
    <t>EBCR</t>
  </si>
  <si>
    <t>EIRR</t>
  </si>
  <si>
    <t>Module degradation (per year)</t>
  </si>
  <si>
    <t>CO₂ avoided (ton/year)</t>
  </si>
  <si>
    <t>Social cost of carbon (LKR/ton)</t>
  </si>
  <si>
    <t>Environmental impact cost Year 0 (LKR mn)</t>
  </si>
  <si>
    <t>Tariff (LKR/kWh)</t>
  </si>
  <si>
    <t>Efficiency derate (Performance Ratio)</t>
  </si>
  <si>
    <t>O&amp;M % of CapEx (financial) Year 1</t>
  </si>
  <si>
    <t>Tariff revenue (LKR mn)</t>
  </si>
  <si>
    <t xml:space="preserve">Economic Benefit - Cost Analysis (EBCA) – Siyambalanduwa 100 MW Solar </t>
  </si>
  <si>
    <t>Employment (jobs) for year 0</t>
  </si>
  <si>
    <t>Economic Benefit</t>
  </si>
  <si>
    <t>Economic costs</t>
  </si>
  <si>
    <t>Employment (jobs) after year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</si>
</sst>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4" fontId="0" fillId="0" borderId="1" xfId="0" applyNumberFormat="1" applyBorder="1"/>
    <xf numFmtId="0" fontId="0" fillId="0" borderId="1" xfId="0" applyBorder="1"/>
    <xf numFmtId="0" fontId="0" fillId="3" borderId="1" xfId="0" applyFill="1" applyBorder="1"/>
    <xf numFmtId="0" fontId="2" fillId="2" borderId="1" xfId="0" applyFont="1" applyFill="1" applyBorder="1"/>
    <xf numFmtId="10" fontId="0" fillId="2" borderId="1" xfId="0" applyNumberFormat="1" applyFill="1" applyBorder="1"/>
    <xf numFmtId="0" fontId="0" fillId="2" borderId="1" xfId="0" applyFill="1" applyBorder="1"/>
    <xf numFmtId="4" fontId="0" fillId="0" borderId="0" xfId="0" applyNumberFormat="1"/>
    <xf numFmtId="0" fontId="0" fillId="0" borderId="3" xfId="0" applyBorder="1"/>
    <xf numFmtId="10" fontId="0" fillId="0" borderId="5" xfId="0" applyNumberFormat="1" applyBorder="1"/>
    <xf numFmtId="0" fontId="0" fillId="0" borderId="1" xfId="0" applyBorder="1" applyAlignment="1">
      <alignment horizontal="left"/>
    </xf>
    <xf numFmtId="0" fontId="2" fillId="0" borderId="11" xfId="0" applyFont="1" applyBorder="1"/>
    <xf numFmtId="0" fontId="2" fillId="5" borderId="14" xfId="0" applyFont="1" applyFill="1" applyBorder="1"/>
    <xf numFmtId="0" fontId="2" fillId="2" borderId="7" xfId="0" applyFont="1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4" fontId="0" fillId="4" borderId="6" xfId="0" applyNumberFormat="1" applyFill="1" applyBorder="1"/>
    <xf numFmtId="0" fontId="0" fillId="3" borderId="9" xfId="0" applyFill="1" applyBorder="1"/>
    <xf numFmtId="4" fontId="0" fillId="3" borderId="16" xfId="0" applyNumberFormat="1" applyFill="1" applyBorder="1"/>
    <xf numFmtId="0" fontId="0" fillId="0" borderId="7" xfId="0" applyBorder="1"/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7" xfId="0" applyBorder="1"/>
    <xf numFmtId="0" fontId="0" fillId="0" borderId="22" xfId="0" applyBorder="1"/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23" xfId="0" applyBorder="1"/>
    <xf numFmtId="0" fontId="0" fillId="0" borderId="5" xfId="0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4" fontId="2" fillId="5" borderId="14" xfId="0" applyNumberFormat="1" applyFont="1" applyFill="1" applyBorder="1"/>
    <xf numFmtId="9" fontId="0" fillId="0" borderId="25" xfId="0" applyNumberFormat="1" applyBorder="1"/>
    <xf numFmtId="9" fontId="0" fillId="0" borderId="5" xfId="0" applyNumberFormat="1" applyBorder="1"/>
    <xf numFmtId="0" fontId="0" fillId="0" borderId="11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vertical="center" wrapText="1"/>
    </xf>
    <xf numFmtId="0" fontId="0" fillId="4" borderId="11" xfId="0" applyFill="1" applyBorder="1" applyAlignment="1">
      <alignment vertical="center" wrapText="1"/>
    </xf>
    <xf numFmtId="0" fontId="0" fillId="4" borderId="18" xfId="0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2" fillId="4" borderId="24" xfId="0" applyFont="1" applyFill="1" applyBorder="1" applyAlignment="1">
      <alignment vertical="center" wrapText="1"/>
    </xf>
    <xf numFmtId="0" fontId="2" fillId="4" borderId="23" xfId="0" applyFont="1" applyFill="1" applyBorder="1" applyAlignment="1">
      <alignment vertical="center" wrapText="1"/>
    </xf>
    <xf numFmtId="0" fontId="0" fillId="4" borderId="24" xfId="0" applyFill="1" applyBorder="1" applyAlignment="1">
      <alignment vertical="center" wrapText="1"/>
    </xf>
    <xf numFmtId="0" fontId="0" fillId="4" borderId="23" xfId="0" applyFill="1" applyBorder="1" applyAlignment="1">
      <alignment vertical="center" wrapText="1"/>
    </xf>
    <xf numFmtId="0" fontId="2" fillId="3" borderId="1" xfId="0" applyFont="1" applyFill="1" applyBorder="1"/>
    <xf numFmtId="4" fontId="2" fillId="3" borderId="1" xfId="0" applyNumberFormat="1" applyFont="1" applyFill="1" applyBorder="1"/>
    <xf numFmtId="0" fontId="2" fillId="7" borderId="15" xfId="0" applyFont="1" applyFill="1" applyBorder="1"/>
    <xf numFmtId="0" fontId="0" fillId="6" borderId="26" xfId="0" applyFill="1" applyBorder="1"/>
    <xf numFmtId="0" fontId="0" fillId="5" borderId="4" xfId="0" applyFill="1" applyBorder="1"/>
    <xf numFmtId="0" fontId="2" fillId="6" borderId="1" xfId="0" applyFont="1" applyFill="1" applyBorder="1"/>
    <xf numFmtId="0" fontId="2" fillId="7" borderId="9" xfId="0" applyFont="1" applyFill="1" applyBorder="1"/>
    <xf numFmtId="0" fontId="2" fillId="7" borderId="10" xfId="0" applyFont="1" applyFill="1" applyBorder="1"/>
    <xf numFmtId="0" fontId="0" fillId="0" borderId="13" xfId="0" applyBorder="1"/>
    <xf numFmtId="0" fontId="0" fillId="3" borderId="3" xfId="0" applyFill="1" applyBorder="1"/>
    <xf numFmtId="0" fontId="2" fillId="3" borderId="13" xfId="0" applyFont="1" applyFill="1" applyBorder="1"/>
    <xf numFmtId="4" fontId="2" fillId="3" borderId="13" xfId="0" applyNumberFormat="1" applyFont="1" applyFill="1" applyBorder="1"/>
    <xf numFmtId="0" fontId="2" fillId="6" borderId="13" xfId="0" applyFont="1" applyFill="1" applyBorder="1"/>
    <xf numFmtId="0" fontId="2" fillId="0" borderId="1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4" fontId="0" fillId="0" borderId="5" xfId="0" applyNumberFormat="1" applyBorder="1"/>
    <xf numFmtId="0" fontId="0" fillId="0" borderId="12" xfId="0" applyBorder="1"/>
    <xf numFmtId="4" fontId="2" fillId="5" borderId="27" xfId="0" applyNumberFormat="1" applyFont="1" applyFill="1" applyBorder="1"/>
    <xf numFmtId="0" fontId="0" fillId="0" borderId="24" xfId="0" applyBorder="1"/>
    <xf numFmtId="0" fontId="0" fillId="0" borderId="18" xfId="0" applyBorder="1"/>
    <xf numFmtId="0" fontId="0" fillId="0" borderId="7" xfId="0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9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ema\Desktop\Our%20group%20project\Siyambalanduwa_FBCA%20-%20Sensitivity%20Analysis.xlsx" TargetMode="External"/><Relationship Id="rId1" Type="http://schemas.openxmlformats.org/officeDocument/2006/relationships/externalLinkPath" Target="Siyambalanduwa_FBCA%20-%20Sensitivity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BCA"/>
      <sheetName val="Sensitivity_Analysis"/>
    </sheetNames>
    <sheetDataSet>
      <sheetData sheetId="0">
        <row r="54">
          <cell r="C54">
            <v>2149.5217585367518</v>
          </cell>
        </row>
        <row r="55">
          <cell r="C55">
            <v>1.1302014727354981</v>
          </cell>
        </row>
        <row r="56">
          <cell r="C56">
            <v>0.11066572456360646</v>
          </cell>
        </row>
        <row r="57">
          <cell r="C57">
            <v>14.2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6"/>
  <sheetViews>
    <sheetView tabSelected="1" workbookViewId="0">
      <selection activeCell="D9" sqref="D9"/>
    </sheetView>
  </sheetViews>
  <sheetFormatPr defaultRowHeight="14.5" x14ac:dyDescent="0.35"/>
  <cols>
    <col min="1" max="1" width="40.6328125" customWidth="1"/>
    <col min="2" max="2" width="16.6328125" customWidth="1"/>
    <col min="3" max="24" width="12.6328125" customWidth="1"/>
  </cols>
  <sheetData>
    <row r="1" spans="1:23" ht="15.5" x14ac:dyDescent="0.35">
      <c r="A1" s="70" t="s">
        <v>69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</row>
    <row r="3" spans="1:23" x14ac:dyDescent="0.35">
      <c r="A3" s="15" t="s">
        <v>7</v>
      </c>
      <c r="B3" s="14"/>
    </row>
    <row r="4" spans="1:23" ht="15" thickBot="1" x14ac:dyDescent="0.4">
      <c r="A4" s="16"/>
    </row>
    <row r="5" spans="1:23" x14ac:dyDescent="0.35">
      <c r="A5" s="81" t="s">
        <v>11</v>
      </c>
      <c r="B5" s="32">
        <v>0.09</v>
      </c>
    </row>
    <row r="6" spans="1:23" x14ac:dyDescent="0.35">
      <c r="A6" s="8" t="s">
        <v>12</v>
      </c>
      <c r="B6" s="28">
        <v>0.9</v>
      </c>
    </row>
    <row r="7" spans="1:23" x14ac:dyDescent="0.35">
      <c r="A7" s="8" t="s">
        <v>13</v>
      </c>
      <c r="B7" s="28">
        <v>0.8</v>
      </c>
    </row>
    <row r="8" spans="1:23" x14ac:dyDescent="0.35">
      <c r="A8" s="8" t="s">
        <v>14</v>
      </c>
      <c r="B8" s="67">
        <v>1.1000000000000001</v>
      </c>
    </row>
    <row r="9" spans="1:23" x14ac:dyDescent="0.35">
      <c r="A9" s="8" t="s">
        <v>62</v>
      </c>
      <c r="B9" s="28">
        <v>147582</v>
      </c>
    </row>
    <row r="10" spans="1:23" x14ac:dyDescent="0.35">
      <c r="A10" s="8" t="s">
        <v>63</v>
      </c>
      <c r="B10" s="28">
        <v>10000</v>
      </c>
      <c r="H10" s="7"/>
    </row>
    <row r="11" spans="1:23" x14ac:dyDescent="0.35">
      <c r="A11" s="8" t="s">
        <v>15</v>
      </c>
      <c r="B11" s="28">
        <v>1475.82</v>
      </c>
    </row>
    <row r="12" spans="1:23" x14ac:dyDescent="0.35">
      <c r="A12" s="8" t="s">
        <v>16</v>
      </c>
      <c r="B12" s="28">
        <v>19</v>
      </c>
    </row>
    <row r="13" spans="1:23" x14ac:dyDescent="0.35">
      <c r="A13" s="8" t="s">
        <v>17</v>
      </c>
      <c r="B13" s="28">
        <v>180</v>
      </c>
    </row>
    <row r="14" spans="1:23" x14ac:dyDescent="0.35">
      <c r="A14" s="8" t="s">
        <v>66</v>
      </c>
      <c r="B14" s="9">
        <v>0.85</v>
      </c>
    </row>
    <row r="15" spans="1:23" x14ac:dyDescent="0.35">
      <c r="A15" s="8" t="s">
        <v>65</v>
      </c>
      <c r="B15" s="64">
        <v>14</v>
      </c>
    </row>
    <row r="16" spans="1:23" x14ac:dyDescent="0.35">
      <c r="A16" s="8" t="s">
        <v>61</v>
      </c>
      <c r="B16" s="9">
        <v>7.0000000000000001E-3</v>
      </c>
    </row>
    <row r="17" spans="1:5" x14ac:dyDescent="0.35">
      <c r="A17" s="8" t="s">
        <v>73</v>
      </c>
      <c r="B17" s="28">
        <v>100</v>
      </c>
    </row>
    <row r="18" spans="1:5" x14ac:dyDescent="0.35">
      <c r="A18" s="8" t="s">
        <v>70</v>
      </c>
      <c r="B18" s="28">
        <v>1000</v>
      </c>
    </row>
    <row r="19" spans="1:5" x14ac:dyDescent="0.35">
      <c r="A19" s="8" t="s">
        <v>18</v>
      </c>
      <c r="B19" s="28">
        <v>1</v>
      </c>
    </row>
    <row r="20" spans="1:5" x14ac:dyDescent="0.35">
      <c r="A20" s="8" t="s">
        <v>19</v>
      </c>
      <c r="B20" s="28">
        <v>15</v>
      </c>
    </row>
    <row r="21" spans="1:5" x14ac:dyDescent="0.35">
      <c r="A21" s="8" t="s">
        <v>64</v>
      </c>
      <c r="B21" s="28">
        <v>30</v>
      </c>
    </row>
    <row r="22" spans="1:5" x14ac:dyDescent="0.35">
      <c r="A22" s="8" t="s">
        <v>20</v>
      </c>
      <c r="B22" s="33">
        <v>0.05</v>
      </c>
    </row>
    <row r="23" spans="1:5" x14ac:dyDescent="0.35">
      <c r="A23" s="8" t="s">
        <v>67</v>
      </c>
      <c r="B23" s="33">
        <v>0.01</v>
      </c>
    </row>
    <row r="24" spans="1:5" ht="15" thickBot="1" x14ac:dyDescent="0.4">
      <c r="A24" s="68" t="s">
        <v>21</v>
      </c>
      <c r="B24" s="27">
        <v>14833.65</v>
      </c>
    </row>
    <row r="26" spans="1:5" x14ac:dyDescent="0.35">
      <c r="A26" s="14" t="s">
        <v>34</v>
      </c>
      <c r="B26" s="14"/>
    </row>
    <row r="27" spans="1:5" ht="15" thickBot="1" x14ac:dyDescent="0.4"/>
    <row r="28" spans="1:5" ht="15" thickBot="1" x14ac:dyDescent="0.4">
      <c r="A28" s="35" t="s">
        <v>22</v>
      </c>
      <c r="B28" s="35" t="s">
        <v>24</v>
      </c>
      <c r="C28" s="40" t="s">
        <v>25</v>
      </c>
      <c r="D28" s="40" t="s">
        <v>26</v>
      </c>
      <c r="E28" s="40" t="s">
        <v>27</v>
      </c>
    </row>
    <row r="29" spans="1:5" x14ac:dyDescent="0.35">
      <c r="A29" s="61" t="s">
        <v>45</v>
      </c>
      <c r="B29" s="59"/>
      <c r="C29" s="60"/>
      <c r="D29" s="60"/>
      <c r="E29" s="60"/>
    </row>
    <row r="30" spans="1:5" x14ac:dyDescent="0.35">
      <c r="A30" s="34" t="s">
        <v>46</v>
      </c>
      <c r="B30" s="34">
        <f>B24</f>
        <v>14833.65</v>
      </c>
      <c r="C30" s="41">
        <v>0.6</v>
      </c>
      <c r="D30" s="41">
        <f>B8</f>
        <v>1.1000000000000001</v>
      </c>
      <c r="E30" s="41">
        <f>B30*C30*D30</f>
        <v>9790.2089999999989</v>
      </c>
    </row>
    <row r="31" spans="1:5" x14ac:dyDescent="0.35">
      <c r="A31" s="34" t="s">
        <v>47</v>
      </c>
      <c r="B31" s="34">
        <f>B24</f>
        <v>14833.65</v>
      </c>
      <c r="C31" s="41">
        <v>0.3</v>
      </c>
      <c r="D31" s="41">
        <f>B6</f>
        <v>0.9</v>
      </c>
      <c r="E31" s="41">
        <f t="shared" ref="E31:E32" si="0">B31*C31*D31</f>
        <v>4005.0854999999997</v>
      </c>
    </row>
    <row r="32" spans="1:5" x14ac:dyDescent="0.35">
      <c r="A32" s="34" t="s">
        <v>48</v>
      </c>
      <c r="B32" s="34">
        <f>B24</f>
        <v>14833.65</v>
      </c>
      <c r="C32" s="41">
        <v>0.1</v>
      </c>
      <c r="D32" s="41">
        <f>B7</f>
        <v>0.8</v>
      </c>
      <c r="E32" s="41">
        <f t="shared" si="0"/>
        <v>1186.692</v>
      </c>
    </row>
    <row r="33" spans="1:23" x14ac:dyDescent="0.35">
      <c r="A33" s="36" t="s">
        <v>23</v>
      </c>
      <c r="B33" s="38"/>
      <c r="C33" s="44"/>
      <c r="D33" s="44"/>
      <c r="E33" s="42">
        <f>SUM(E30:E32)</f>
        <v>14981.986499999999</v>
      </c>
    </row>
    <row r="34" spans="1:23" x14ac:dyDescent="0.35">
      <c r="A34" s="62" t="s">
        <v>49</v>
      </c>
      <c r="B34" s="34"/>
      <c r="C34" s="41"/>
      <c r="D34" s="41"/>
      <c r="E34" s="63"/>
    </row>
    <row r="35" spans="1:23" x14ac:dyDescent="0.35">
      <c r="A35" s="34" t="s">
        <v>50</v>
      </c>
      <c r="B35" s="34">
        <f>B$24*B$23</f>
        <v>148.3365</v>
      </c>
      <c r="C35" s="41">
        <v>0.2</v>
      </c>
      <c r="D35" s="41">
        <f>B8</f>
        <v>1.1000000000000001</v>
      </c>
      <c r="E35" s="41">
        <f>B35*C35*D35</f>
        <v>32.634030000000003</v>
      </c>
    </row>
    <row r="36" spans="1:23" x14ac:dyDescent="0.35">
      <c r="A36" s="34" t="s">
        <v>51</v>
      </c>
      <c r="B36" s="34">
        <f t="shared" ref="B36:B37" si="1">B$24*B$23</f>
        <v>148.3365</v>
      </c>
      <c r="C36" s="41">
        <v>0.5</v>
      </c>
      <c r="D36" s="41">
        <f>B6</f>
        <v>0.9</v>
      </c>
      <c r="E36" s="41">
        <f t="shared" ref="E36:E37" si="2">B36*C36*D36</f>
        <v>66.751424999999998</v>
      </c>
    </row>
    <row r="37" spans="1:23" x14ac:dyDescent="0.35">
      <c r="A37" s="34" t="s">
        <v>52</v>
      </c>
      <c r="B37" s="34">
        <f t="shared" si="1"/>
        <v>148.3365</v>
      </c>
      <c r="C37" s="41">
        <v>0.3</v>
      </c>
      <c r="D37" s="41">
        <f>B7</f>
        <v>0.8</v>
      </c>
      <c r="E37" s="41">
        <f t="shared" si="2"/>
        <v>35.600760000000001</v>
      </c>
    </row>
    <row r="38" spans="1:23" ht="15" thickBot="1" x14ac:dyDescent="0.4">
      <c r="A38" s="37" t="s">
        <v>44</v>
      </c>
      <c r="B38" s="39"/>
      <c r="C38" s="45"/>
      <c r="D38" s="45"/>
      <c r="E38" s="43">
        <f>SUM(E35:E37)</f>
        <v>134.98621500000002</v>
      </c>
    </row>
    <row r="39" spans="1:23" x14ac:dyDescent="0.35">
      <c r="A39" s="30"/>
      <c r="B39" s="29"/>
      <c r="C39" s="29"/>
      <c r="D39" s="29"/>
      <c r="E39" s="30"/>
    </row>
    <row r="40" spans="1:23" x14ac:dyDescent="0.35">
      <c r="A40" s="15" t="s">
        <v>33</v>
      </c>
      <c r="B40" s="14"/>
    </row>
    <row r="41" spans="1:23" ht="15" thickBot="1" x14ac:dyDescent="0.4">
      <c r="A41" s="16"/>
    </row>
    <row r="42" spans="1:23" x14ac:dyDescent="0.35">
      <c r="A42" s="48" t="s">
        <v>0</v>
      </c>
      <c r="B42" s="52" t="s">
        <v>1</v>
      </c>
      <c r="C42" s="52">
        <v>0</v>
      </c>
      <c r="D42" s="52">
        <v>1</v>
      </c>
      <c r="E42" s="52">
        <v>2</v>
      </c>
      <c r="F42" s="52">
        <v>3</v>
      </c>
      <c r="G42" s="52">
        <v>4</v>
      </c>
      <c r="H42" s="52">
        <v>5</v>
      </c>
      <c r="I42" s="52">
        <v>6</v>
      </c>
      <c r="J42" s="52">
        <v>7</v>
      </c>
      <c r="K42" s="52">
        <v>8</v>
      </c>
      <c r="L42" s="52">
        <v>9</v>
      </c>
      <c r="M42" s="52">
        <v>10</v>
      </c>
      <c r="N42" s="52">
        <v>11</v>
      </c>
      <c r="O42" s="52">
        <v>12</v>
      </c>
      <c r="P42" s="52">
        <v>13</v>
      </c>
      <c r="Q42" s="52">
        <v>14</v>
      </c>
      <c r="R42" s="52">
        <v>15</v>
      </c>
      <c r="S42" s="52">
        <v>16</v>
      </c>
      <c r="T42" s="52">
        <v>17</v>
      </c>
      <c r="U42" s="52">
        <v>18</v>
      </c>
      <c r="V42" s="52">
        <v>19</v>
      </c>
      <c r="W42" s="53">
        <v>20</v>
      </c>
    </row>
    <row r="43" spans="1:23" x14ac:dyDescent="0.35">
      <c r="A43" s="8" t="s">
        <v>28</v>
      </c>
      <c r="B43" s="2">
        <f>SUM(C43:W43)</f>
        <v>3370.3622545827698</v>
      </c>
      <c r="C43" s="2">
        <v>0</v>
      </c>
      <c r="D43" s="2">
        <f>B13</f>
        <v>180</v>
      </c>
      <c r="E43" s="2">
        <f>D43*(1-$B$16)</f>
        <v>178.74</v>
      </c>
      <c r="F43" s="2">
        <f t="shared" ref="F43:W43" si="3">E43*(1-$B$16)</f>
        <v>177.48882</v>
      </c>
      <c r="G43" s="2">
        <f t="shared" si="3"/>
        <v>176.24639826000001</v>
      </c>
      <c r="H43" s="2">
        <f t="shared" si="3"/>
        <v>175.01267347218001</v>
      </c>
      <c r="I43" s="2">
        <f t="shared" si="3"/>
        <v>173.78758475787475</v>
      </c>
      <c r="J43" s="2">
        <f t="shared" si="3"/>
        <v>172.57107166456964</v>
      </c>
      <c r="K43" s="2">
        <f t="shared" si="3"/>
        <v>171.36307416291766</v>
      </c>
      <c r="L43" s="2">
        <f t="shared" si="3"/>
        <v>170.16353264377724</v>
      </c>
      <c r="M43" s="2">
        <f t="shared" si="3"/>
        <v>168.97238791527082</v>
      </c>
      <c r="N43" s="2">
        <f t="shared" si="3"/>
        <v>167.78958119986393</v>
      </c>
      <c r="O43" s="2">
        <f t="shared" si="3"/>
        <v>166.61505413146489</v>
      </c>
      <c r="P43" s="2">
        <f t="shared" si="3"/>
        <v>165.44874875254465</v>
      </c>
      <c r="Q43" s="2">
        <f t="shared" si="3"/>
        <v>164.29060751127682</v>
      </c>
      <c r="R43" s="2">
        <f t="shared" si="3"/>
        <v>163.14057325869788</v>
      </c>
      <c r="S43" s="2">
        <f t="shared" si="3"/>
        <v>161.99858924588699</v>
      </c>
      <c r="T43" s="2">
        <f t="shared" si="3"/>
        <v>160.86459912116578</v>
      </c>
      <c r="U43" s="2">
        <f t="shared" si="3"/>
        <v>159.73854692731763</v>
      </c>
      <c r="V43" s="2">
        <f t="shared" si="3"/>
        <v>158.6203770988264</v>
      </c>
      <c r="W43" s="54">
        <f t="shared" si="3"/>
        <v>157.5100344591346</v>
      </c>
    </row>
    <row r="44" spans="1:23" x14ac:dyDescent="0.35">
      <c r="A44" s="11" t="s">
        <v>71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54"/>
    </row>
    <row r="45" spans="1:23" x14ac:dyDescent="0.35">
      <c r="A45" s="65" t="s">
        <v>68</v>
      </c>
      <c r="B45" s="2">
        <f>SUM(C45:W45)</f>
        <v>40107.310829534945</v>
      </c>
      <c r="C45" s="2">
        <v>0</v>
      </c>
      <c r="D45" s="2">
        <f>$B$13*((1-$B$16)^(D42-1))*$B$14*$B$15</f>
        <v>2142</v>
      </c>
      <c r="E45" s="2">
        <f t="shared" ref="E45:W45" si="4">$B$13*((1-$B$16)^(E42-1))*$B$14*$B$15</f>
        <v>2127.0059999999999</v>
      </c>
      <c r="F45" s="2">
        <f t="shared" si="4"/>
        <v>2112.1169580000001</v>
      </c>
      <c r="G45" s="2">
        <f t="shared" si="4"/>
        <v>2097.3321392939997</v>
      </c>
      <c r="H45" s="2">
        <f t="shared" si="4"/>
        <v>2082.6508143189417</v>
      </c>
      <c r="I45" s="2">
        <f t="shared" si="4"/>
        <v>2068.0722586187094</v>
      </c>
      <c r="J45" s="2">
        <f t="shared" si="4"/>
        <v>2053.5957528083782</v>
      </c>
      <c r="K45" s="2">
        <f t="shared" si="4"/>
        <v>2039.2205825387193</v>
      </c>
      <c r="L45" s="2">
        <f t="shared" si="4"/>
        <v>2024.9460384609481</v>
      </c>
      <c r="M45" s="2">
        <f t="shared" si="4"/>
        <v>2010.7714161917215</v>
      </c>
      <c r="N45" s="2">
        <f t="shared" si="4"/>
        <v>1996.6960162783798</v>
      </c>
      <c r="O45" s="2">
        <f t="shared" si="4"/>
        <v>1982.7191441644309</v>
      </c>
      <c r="P45" s="2">
        <f t="shared" si="4"/>
        <v>1968.8401101552795</v>
      </c>
      <c r="Q45" s="2">
        <f t="shared" si="4"/>
        <v>1955.0582293841926</v>
      </c>
      <c r="R45" s="2">
        <f t="shared" si="4"/>
        <v>1941.3728217785033</v>
      </c>
      <c r="S45" s="2">
        <f t="shared" si="4"/>
        <v>1927.7832120260539</v>
      </c>
      <c r="T45" s="2">
        <f t="shared" si="4"/>
        <v>1914.2887295418714</v>
      </c>
      <c r="U45" s="2">
        <f t="shared" si="4"/>
        <v>1900.8887084350779</v>
      </c>
      <c r="V45" s="2">
        <f t="shared" si="4"/>
        <v>1887.5824874760326</v>
      </c>
      <c r="W45" s="2">
        <f t="shared" si="4"/>
        <v>1874.3694100636999</v>
      </c>
    </row>
    <row r="46" spans="1:23" x14ac:dyDescent="0.35">
      <c r="A46" s="8" t="s">
        <v>38</v>
      </c>
      <c r="B46" s="2">
        <f>SUM(C46:W46)</f>
        <v>64036.882837072626</v>
      </c>
      <c r="C46" s="2">
        <f>C43*$B$12</f>
        <v>0</v>
      </c>
      <c r="D46" s="2">
        <f>D43*$B$12</f>
        <v>3420</v>
      </c>
      <c r="E46" s="2">
        <f t="shared" ref="E46:W46" si="5">E43*$B$12</f>
        <v>3396.0600000000004</v>
      </c>
      <c r="F46" s="2">
        <f t="shared" si="5"/>
        <v>3372.2875800000002</v>
      </c>
      <c r="G46" s="2">
        <f t="shared" si="5"/>
        <v>3348.6815669400003</v>
      </c>
      <c r="H46" s="2">
        <f t="shared" si="5"/>
        <v>3325.2407959714201</v>
      </c>
      <c r="I46" s="2">
        <f t="shared" si="5"/>
        <v>3301.9641103996205</v>
      </c>
      <c r="J46" s="2">
        <f t="shared" si="5"/>
        <v>3278.8503616268231</v>
      </c>
      <c r="K46" s="2">
        <f t="shared" si="5"/>
        <v>3255.8984090954355</v>
      </c>
      <c r="L46" s="2">
        <f t="shared" si="5"/>
        <v>3233.1071202317676</v>
      </c>
      <c r="M46" s="2">
        <f t="shared" si="5"/>
        <v>3210.4753703901456</v>
      </c>
      <c r="N46" s="2">
        <f t="shared" si="5"/>
        <v>3188.0020427974146</v>
      </c>
      <c r="O46" s="2">
        <f t="shared" si="5"/>
        <v>3165.6860284978329</v>
      </c>
      <c r="P46" s="2">
        <f t="shared" si="5"/>
        <v>3143.5262262983483</v>
      </c>
      <c r="Q46" s="2">
        <f t="shared" si="5"/>
        <v>3121.5215427142593</v>
      </c>
      <c r="R46" s="2">
        <f t="shared" si="5"/>
        <v>3099.6708919152597</v>
      </c>
      <c r="S46" s="2">
        <f t="shared" si="5"/>
        <v>3077.9731956718529</v>
      </c>
      <c r="T46" s="2">
        <f t="shared" si="5"/>
        <v>3056.4273833021498</v>
      </c>
      <c r="U46" s="2">
        <f t="shared" si="5"/>
        <v>3035.032391619035</v>
      </c>
      <c r="V46" s="2">
        <f t="shared" si="5"/>
        <v>3013.7871648777013</v>
      </c>
      <c r="W46" s="54">
        <f t="shared" si="5"/>
        <v>2992.6906547235576</v>
      </c>
    </row>
    <row r="47" spans="1:23" x14ac:dyDescent="0.35">
      <c r="A47" s="8" t="s">
        <v>39</v>
      </c>
      <c r="B47" s="2">
        <f t="shared" ref="B47:B48" si="6">SUM(C47:W47)</f>
        <v>29516.399999999998</v>
      </c>
      <c r="C47" s="2">
        <f t="shared" ref="C47:W47" si="7">IF(C42=0,0,$B$11)</f>
        <v>0</v>
      </c>
      <c r="D47" s="2">
        <f t="shared" si="7"/>
        <v>1475.82</v>
      </c>
      <c r="E47" s="2">
        <f t="shared" si="7"/>
        <v>1475.82</v>
      </c>
      <c r="F47" s="2">
        <f t="shared" si="7"/>
        <v>1475.82</v>
      </c>
      <c r="G47" s="2">
        <f t="shared" si="7"/>
        <v>1475.82</v>
      </c>
      <c r="H47" s="2">
        <f t="shared" si="7"/>
        <v>1475.82</v>
      </c>
      <c r="I47" s="2">
        <f t="shared" si="7"/>
        <v>1475.82</v>
      </c>
      <c r="J47" s="2">
        <f t="shared" si="7"/>
        <v>1475.82</v>
      </c>
      <c r="K47" s="2">
        <f t="shared" si="7"/>
        <v>1475.82</v>
      </c>
      <c r="L47" s="2">
        <f t="shared" si="7"/>
        <v>1475.82</v>
      </c>
      <c r="M47" s="2">
        <f t="shared" si="7"/>
        <v>1475.82</v>
      </c>
      <c r="N47" s="2">
        <f t="shared" si="7"/>
        <v>1475.82</v>
      </c>
      <c r="O47" s="2">
        <f t="shared" si="7"/>
        <v>1475.82</v>
      </c>
      <c r="P47" s="2">
        <f t="shared" si="7"/>
        <v>1475.82</v>
      </c>
      <c r="Q47" s="2">
        <f t="shared" si="7"/>
        <v>1475.82</v>
      </c>
      <c r="R47" s="2">
        <f t="shared" si="7"/>
        <v>1475.82</v>
      </c>
      <c r="S47" s="2">
        <f t="shared" si="7"/>
        <v>1475.82</v>
      </c>
      <c r="T47" s="2">
        <f t="shared" si="7"/>
        <v>1475.82</v>
      </c>
      <c r="U47" s="2">
        <f t="shared" si="7"/>
        <v>1475.82</v>
      </c>
      <c r="V47" s="2">
        <f t="shared" si="7"/>
        <v>1475.82</v>
      </c>
      <c r="W47" s="54">
        <f t="shared" si="7"/>
        <v>1475.82</v>
      </c>
    </row>
    <row r="48" spans="1:23" x14ac:dyDescent="0.35">
      <c r="A48" s="8" t="s">
        <v>40</v>
      </c>
      <c r="B48" s="2">
        <f t="shared" si="6"/>
        <v>3000</v>
      </c>
      <c r="C48" s="2">
        <f>IF(C42=0,$B$18*$B$19,$B$17*$B$19)</f>
        <v>1000</v>
      </c>
      <c r="D48" s="2">
        <f t="shared" ref="D48:W48" si="8">IF(D42=0,0,$B$17*$B$19)</f>
        <v>100</v>
      </c>
      <c r="E48" s="2">
        <f t="shared" si="8"/>
        <v>100</v>
      </c>
      <c r="F48" s="2">
        <f t="shared" si="8"/>
        <v>100</v>
      </c>
      <c r="G48" s="2">
        <f t="shared" si="8"/>
        <v>100</v>
      </c>
      <c r="H48" s="2">
        <f t="shared" si="8"/>
        <v>100</v>
      </c>
      <c r="I48" s="2">
        <f t="shared" si="8"/>
        <v>100</v>
      </c>
      <c r="J48" s="2">
        <f t="shared" si="8"/>
        <v>100</v>
      </c>
      <c r="K48" s="2">
        <f t="shared" si="8"/>
        <v>100</v>
      </c>
      <c r="L48" s="2">
        <f t="shared" si="8"/>
        <v>100</v>
      </c>
      <c r="M48" s="2">
        <f t="shared" si="8"/>
        <v>100</v>
      </c>
      <c r="N48" s="2">
        <f t="shared" si="8"/>
        <v>100</v>
      </c>
      <c r="O48" s="2">
        <f t="shared" si="8"/>
        <v>100</v>
      </c>
      <c r="P48" s="2">
        <f t="shared" si="8"/>
        <v>100</v>
      </c>
      <c r="Q48" s="2">
        <f t="shared" si="8"/>
        <v>100</v>
      </c>
      <c r="R48" s="2">
        <f t="shared" si="8"/>
        <v>100</v>
      </c>
      <c r="S48" s="2">
        <f t="shared" si="8"/>
        <v>100</v>
      </c>
      <c r="T48" s="2">
        <f t="shared" si="8"/>
        <v>100</v>
      </c>
      <c r="U48" s="2">
        <f t="shared" si="8"/>
        <v>100</v>
      </c>
      <c r="V48" s="2">
        <f t="shared" si="8"/>
        <v>100</v>
      </c>
      <c r="W48" s="54">
        <f t="shared" si="8"/>
        <v>100</v>
      </c>
    </row>
    <row r="49" spans="1:23" x14ac:dyDescent="0.35">
      <c r="A49" s="55" t="s">
        <v>29</v>
      </c>
      <c r="B49" s="46">
        <f>SUM(C49:W49)</f>
        <v>96553.282837072635</v>
      </c>
      <c r="C49" s="46">
        <f t="shared" ref="C49:W49" si="9">SUM(C46:C48)</f>
        <v>1000</v>
      </c>
      <c r="D49" s="46">
        <f t="shared" si="9"/>
        <v>4995.82</v>
      </c>
      <c r="E49" s="46">
        <f t="shared" si="9"/>
        <v>4971.88</v>
      </c>
      <c r="F49" s="46">
        <f t="shared" si="9"/>
        <v>4948.1075799999999</v>
      </c>
      <c r="G49" s="46">
        <f t="shared" si="9"/>
        <v>4924.50156694</v>
      </c>
      <c r="H49" s="46">
        <f t="shared" si="9"/>
        <v>4901.0607959714198</v>
      </c>
      <c r="I49" s="46">
        <f t="shared" si="9"/>
        <v>4877.7841103996207</v>
      </c>
      <c r="J49" s="46">
        <f t="shared" si="9"/>
        <v>4854.6703616268233</v>
      </c>
      <c r="K49" s="46">
        <f t="shared" si="9"/>
        <v>4831.7184090954352</v>
      </c>
      <c r="L49" s="46">
        <f t="shared" si="9"/>
        <v>4808.9271202317677</v>
      </c>
      <c r="M49" s="46">
        <f t="shared" si="9"/>
        <v>4786.2953703901458</v>
      </c>
      <c r="N49" s="46">
        <f t="shared" si="9"/>
        <v>4763.8220427974147</v>
      </c>
      <c r="O49" s="46">
        <f t="shared" si="9"/>
        <v>4741.5060284978326</v>
      </c>
      <c r="P49" s="46">
        <f t="shared" si="9"/>
        <v>4719.3462262983485</v>
      </c>
      <c r="Q49" s="46">
        <f t="shared" si="9"/>
        <v>4697.341542714259</v>
      </c>
      <c r="R49" s="46">
        <f t="shared" si="9"/>
        <v>4675.4908919152595</v>
      </c>
      <c r="S49" s="46">
        <f t="shared" si="9"/>
        <v>4653.793195671853</v>
      </c>
      <c r="T49" s="46">
        <f t="shared" si="9"/>
        <v>4632.2473833021495</v>
      </c>
      <c r="U49" s="46">
        <f t="shared" si="9"/>
        <v>4610.8523916190352</v>
      </c>
      <c r="V49" s="46">
        <f t="shared" si="9"/>
        <v>4589.6071648777015</v>
      </c>
      <c r="W49" s="56">
        <f t="shared" si="9"/>
        <v>4568.5106547235573</v>
      </c>
    </row>
    <row r="50" spans="1:23" x14ac:dyDescent="0.35">
      <c r="A50" s="11" t="s">
        <v>72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54"/>
    </row>
    <row r="51" spans="1:23" x14ac:dyDescent="0.35">
      <c r="A51" s="8" t="s">
        <v>42</v>
      </c>
      <c r="B51" s="2">
        <f>SUM(C51:W51)</f>
        <v>14981.986499999999</v>
      </c>
      <c r="C51" s="2">
        <f t="shared" ref="C51:W51" si="10">IF(C42=0,$E$33,0)</f>
        <v>14981.986499999999</v>
      </c>
      <c r="D51" s="2">
        <f t="shared" si="10"/>
        <v>0</v>
      </c>
      <c r="E51" s="2">
        <f t="shared" si="10"/>
        <v>0</v>
      </c>
      <c r="F51" s="2">
        <f t="shared" si="10"/>
        <v>0</v>
      </c>
      <c r="G51" s="2">
        <f t="shared" si="10"/>
        <v>0</v>
      </c>
      <c r="H51" s="2">
        <f t="shared" si="10"/>
        <v>0</v>
      </c>
      <c r="I51" s="2">
        <f t="shared" si="10"/>
        <v>0</v>
      </c>
      <c r="J51" s="2">
        <f t="shared" si="10"/>
        <v>0</v>
      </c>
      <c r="K51" s="2">
        <f t="shared" si="10"/>
        <v>0</v>
      </c>
      <c r="L51" s="2">
        <f t="shared" si="10"/>
        <v>0</v>
      </c>
      <c r="M51" s="2">
        <f t="shared" si="10"/>
        <v>0</v>
      </c>
      <c r="N51" s="2">
        <f t="shared" si="10"/>
        <v>0</v>
      </c>
      <c r="O51" s="2">
        <f t="shared" si="10"/>
        <v>0</v>
      </c>
      <c r="P51" s="2">
        <f t="shared" si="10"/>
        <v>0</v>
      </c>
      <c r="Q51" s="2">
        <f t="shared" si="10"/>
        <v>0</v>
      </c>
      <c r="R51" s="2">
        <f t="shared" si="10"/>
        <v>0</v>
      </c>
      <c r="S51" s="2">
        <f t="shared" si="10"/>
        <v>0</v>
      </c>
      <c r="T51" s="2">
        <f t="shared" si="10"/>
        <v>0</v>
      </c>
      <c r="U51" s="2">
        <f t="shared" si="10"/>
        <v>0</v>
      </c>
      <c r="V51" s="2">
        <f t="shared" si="10"/>
        <v>0</v>
      </c>
      <c r="W51" s="54">
        <f t="shared" si="10"/>
        <v>0</v>
      </c>
    </row>
    <row r="52" spans="1:23" x14ac:dyDescent="0.35">
      <c r="A52" s="8" t="s">
        <v>43</v>
      </c>
      <c r="B52" s="2">
        <f>SUM(C52:W52)</f>
        <v>4463.4479897126294</v>
      </c>
      <c r="C52" s="2">
        <v>0</v>
      </c>
      <c r="D52" s="2">
        <f>$E$38</f>
        <v>134.98621500000002</v>
      </c>
      <c r="E52" s="2">
        <f>D52*(1+$B$22)</f>
        <v>141.73552575000002</v>
      </c>
      <c r="F52" s="2">
        <f t="shared" ref="F52:W52" si="11">E52*(1+$B$22)</f>
        <v>148.82230203750004</v>
      </c>
      <c r="G52" s="2">
        <f t="shared" si="11"/>
        <v>156.26341713937504</v>
      </c>
      <c r="H52" s="2">
        <f t="shared" si="11"/>
        <v>164.07658799634379</v>
      </c>
      <c r="I52" s="2">
        <f t="shared" si="11"/>
        <v>172.280417396161</v>
      </c>
      <c r="J52" s="2">
        <f t="shared" si="11"/>
        <v>180.89443826596906</v>
      </c>
      <c r="K52" s="2">
        <f t="shared" si="11"/>
        <v>189.93916017926753</v>
      </c>
      <c r="L52" s="2">
        <f t="shared" si="11"/>
        <v>199.43611818823092</v>
      </c>
      <c r="M52" s="2">
        <f t="shared" si="11"/>
        <v>209.40792409764248</v>
      </c>
      <c r="N52" s="2">
        <f t="shared" si="11"/>
        <v>219.8783203025246</v>
      </c>
      <c r="O52" s="2">
        <f t="shared" si="11"/>
        <v>230.87223631765085</v>
      </c>
      <c r="P52" s="2">
        <f t="shared" si="11"/>
        <v>242.41584813353339</v>
      </c>
      <c r="Q52" s="2">
        <f t="shared" si="11"/>
        <v>254.53664054021007</v>
      </c>
      <c r="R52" s="2">
        <f t="shared" si="11"/>
        <v>267.26347256722056</v>
      </c>
      <c r="S52" s="2">
        <f t="shared" si="11"/>
        <v>280.6266461955816</v>
      </c>
      <c r="T52" s="2">
        <f t="shared" si="11"/>
        <v>294.65797850536069</v>
      </c>
      <c r="U52" s="2">
        <f t="shared" si="11"/>
        <v>309.39087743062873</v>
      </c>
      <c r="V52" s="2">
        <f t="shared" si="11"/>
        <v>324.8604213021602</v>
      </c>
      <c r="W52" s="54">
        <f t="shared" si="11"/>
        <v>341.10344236726826</v>
      </c>
    </row>
    <row r="53" spans="1:23" x14ac:dyDescent="0.35">
      <c r="A53" s="8" t="s">
        <v>30</v>
      </c>
      <c r="B53" s="2">
        <f>SUM(C53:W53)</f>
        <v>30</v>
      </c>
      <c r="C53" s="2">
        <f t="shared" ref="C53:W53" si="12">IF(C42=0,$B$21,0)</f>
        <v>30</v>
      </c>
      <c r="D53" s="2">
        <f t="shared" si="12"/>
        <v>0</v>
      </c>
      <c r="E53" s="2">
        <f t="shared" si="12"/>
        <v>0</v>
      </c>
      <c r="F53" s="2">
        <f t="shared" si="12"/>
        <v>0</v>
      </c>
      <c r="G53" s="2">
        <f t="shared" si="12"/>
        <v>0</v>
      </c>
      <c r="H53" s="2">
        <f t="shared" si="12"/>
        <v>0</v>
      </c>
      <c r="I53" s="2">
        <f t="shared" si="12"/>
        <v>0</v>
      </c>
      <c r="J53" s="2">
        <f t="shared" si="12"/>
        <v>0</v>
      </c>
      <c r="K53" s="2">
        <f t="shared" si="12"/>
        <v>0</v>
      </c>
      <c r="L53" s="2">
        <f t="shared" si="12"/>
        <v>0</v>
      </c>
      <c r="M53" s="2">
        <f t="shared" si="12"/>
        <v>0</v>
      </c>
      <c r="N53" s="2">
        <f t="shared" si="12"/>
        <v>0</v>
      </c>
      <c r="O53" s="2">
        <f t="shared" si="12"/>
        <v>0</v>
      </c>
      <c r="P53" s="2">
        <f t="shared" si="12"/>
        <v>0</v>
      </c>
      <c r="Q53" s="2">
        <f t="shared" si="12"/>
        <v>0</v>
      </c>
      <c r="R53" s="2">
        <f t="shared" si="12"/>
        <v>0</v>
      </c>
      <c r="S53" s="2">
        <f t="shared" si="12"/>
        <v>0</v>
      </c>
      <c r="T53" s="2">
        <f t="shared" si="12"/>
        <v>0</v>
      </c>
      <c r="U53" s="2">
        <f t="shared" si="12"/>
        <v>0</v>
      </c>
      <c r="V53" s="2">
        <f t="shared" si="12"/>
        <v>0</v>
      </c>
      <c r="W53" s="54">
        <f t="shared" si="12"/>
        <v>0</v>
      </c>
    </row>
    <row r="54" spans="1:23" x14ac:dyDescent="0.35">
      <c r="A54" s="8" t="s">
        <v>41</v>
      </c>
      <c r="B54" s="2">
        <f>SUM(C54:W54)</f>
        <v>300</v>
      </c>
      <c r="C54" s="2">
        <f t="shared" ref="C54:W54" si="13">IF(C42=0,0,$B$20)</f>
        <v>0</v>
      </c>
      <c r="D54" s="2">
        <f t="shared" si="13"/>
        <v>15</v>
      </c>
      <c r="E54" s="2">
        <f t="shared" si="13"/>
        <v>15</v>
      </c>
      <c r="F54" s="2">
        <f t="shared" si="13"/>
        <v>15</v>
      </c>
      <c r="G54" s="2">
        <f t="shared" si="13"/>
        <v>15</v>
      </c>
      <c r="H54" s="2">
        <f t="shared" si="13"/>
        <v>15</v>
      </c>
      <c r="I54" s="2">
        <f t="shared" si="13"/>
        <v>15</v>
      </c>
      <c r="J54" s="2">
        <f t="shared" si="13"/>
        <v>15</v>
      </c>
      <c r="K54" s="2">
        <f t="shared" si="13"/>
        <v>15</v>
      </c>
      <c r="L54" s="2">
        <f t="shared" si="13"/>
        <v>15</v>
      </c>
      <c r="M54" s="2">
        <f t="shared" si="13"/>
        <v>15</v>
      </c>
      <c r="N54" s="2">
        <f t="shared" si="13"/>
        <v>15</v>
      </c>
      <c r="O54" s="2">
        <f t="shared" si="13"/>
        <v>15</v>
      </c>
      <c r="P54" s="2">
        <f t="shared" si="13"/>
        <v>15</v>
      </c>
      <c r="Q54" s="2">
        <f t="shared" si="13"/>
        <v>15</v>
      </c>
      <c r="R54" s="2">
        <f t="shared" si="13"/>
        <v>15</v>
      </c>
      <c r="S54" s="2">
        <f t="shared" si="13"/>
        <v>15</v>
      </c>
      <c r="T54" s="2">
        <f t="shared" si="13"/>
        <v>15</v>
      </c>
      <c r="U54" s="2">
        <f t="shared" si="13"/>
        <v>15</v>
      </c>
      <c r="V54" s="2">
        <f t="shared" si="13"/>
        <v>15</v>
      </c>
      <c r="W54" s="2">
        <f t="shared" si="13"/>
        <v>15</v>
      </c>
    </row>
    <row r="55" spans="1:23" x14ac:dyDescent="0.35">
      <c r="A55" s="55" t="s">
        <v>31</v>
      </c>
      <c r="B55" s="46">
        <f>SUM(C55:W55)</f>
        <v>19475.434489712628</v>
      </c>
      <c r="C55" s="47">
        <f>SUM(C51:C53)</f>
        <v>15011.986499999999</v>
      </c>
      <c r="D55" s="47">
        <f t="shared" ref="D55:W55" si="14">SUM(D51:D53)</f>
        <v>134.98621500000002</v>
      </c>
      <c r="E55" s="47">
        <f t="shared" si="14"/>
        <v>141.73552575000002</v>
      </c>
      <c r="F55" s="47">
        <f t="shared" si="14"/>
        <v>148.82230203750004</v>
      </c>
      <c r="G55" s="47">
        <f t="shared" si="14"/>
        <v>156.26341713937504</v>
      </c>
      <c r="H55" s="47">
        <f t="shared" si="14"/>
        <v>164.07658799634379</v>
      </c>
      <c r="I55" s="47">
        <f t="shared" si="14"/>
        <v>172.280417396161</v>
      </c>
      <c r="J55" s="47">
        <f t="shared" si="14"/>
        <v>180.89443826596906</v>
      </c>
      <c r="K55" s="47">
        <f t="shared" si="14"/>
        <v>189.93916017926753</v>
      </c>
      <c r="L55" s="47">
        <f t="shared" si="14"/>
        <v>199.43611818823092</v>
      </c>
      <c r="M55" s="47">
        <f t="shared" si="14"/>
        <v>209.40792409764248</v>
      </c>
      <c r="N55" s="47">
        <f t="shared" si="14"/>
        <v>219.8783203025246</v>
      </c>
      <c r="O55" s="47">
        <f t="shared" si="14"/>
        <v>230.87223631765085</v>
      </c>
      <c r="P55" s="47">
        <f t="shared" si="14"/>
        <v>242.41584813353339</v>
      </c>
      <c r="Q55" s="47">
        <f t="shared" si="14"/>
        <v>254.53664054021007</v>
      </c>
      <c r="R55" s="47">
        <f t="shared" si="14"/>
        <v>267.26347256722056</v>
      </c>
      <c r="S55" s="47">
        <f t="shared" si="14"/>
        <v>280.6266461955816</v>
      </c>
      <c r="T55" s="47">
        <f t="shared" si="14"/>
        <v>294.65797850536069</v>
      </c>
      <c r="U55" s="47">
        <f t="shared" si="14"/>
        <v>309.39087743062873</v>
      </c>
      <c r="V55" s="47">
        <f t="shared" si="14"/>
        <v>324.8604213021602</v>
      </c>
      <c r="W55" s="57">
        <f t="shared" si="14"/>
        <v>341.10344236726826</v>
      </c>
    </row>
    <row r="56" spans="1:23" ht="1" customHeight="1" x14ac:dyDescent="0.35">
      <c r="A56" s="49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8"/>
    </row>
    <row r="57" spans="1:23" ht="15" thickBot="1" x14ac:dyDescent="0.4">
      <c r="A57" s="50" t="s">
        <v>32</v>
      </c>
      <c r="B57" s="12">
        <f>SUM(C57:W57)</f>
        <v>77077.848347359992</v>
      </c>
      <c r="C57" s="31">
        <f>C49-C55</f>
        <v>-14011.986499999999</v>
      </c>
      <c r="D57" s="31">
        <f t="shared" ref="D57:W57" si="15">D49-D55</f>
        <v>4860.8337849999998</v>
      </c>
      <c r="E57" s="31">
        <f t="shared" si="15"/>
        <v>4830.1444742499998</v>
      </c>
      <c r="F57" s="31">
        <f t="shared" si="15"/>
        <v>4799.2852779625</v>
      </c>
      <c r="G57" s="31">
        <f t="shared" si="15"/>
        <v>4768.2381498006253</v>
      </c>
      <c r="H57" s="31">
        <f t="shared" si="15"/>
        <v>4736.9842079750761</v>
      </c>
      <c r="I57" s="31">
        <f t="shared" si="15"/>
        <v>4705.5036930034594</v>
      </c>
      <c r="J57" s="31">
        <f t="shared" si="15"/>
        <v>4673.775923360854</v>
      </c>
      <c r="K57" s="31">
        <f t="shared" si="15"/>
        <v>4641.7792489161675</v>
      </c>
      <c r="L57" s="31">
        <f t="shared" si="15"/>
        <v>4609.4910020435364</v>
      </c>
      <c r="M57" s="31">
        <f t="shared" si="15"/>
        <v>4576.8874462925032</v>
      </c>
      <c r="N57" s="31">
        <f t="shared" si="15"/>
        <v>4543.9437224948897</v>
      </c>
      <c r="O57" s="31">
        <f t="shared" si="15"/>
        <v>4510.6337921801814</v>
      </c>
      <c r="P57" s="31">
        <f t="shared" si="15"/>
        <v>4476.930378164815</v>
      </c>
      <c r="Q57" s="31">
        <f t="shared" si="15"/>
        <v>4442.8049021740489</v>
      </c>
      <c r="R57" s="31">
        <f t="shared" si="15"/>
        <v>4408.2274193480389</v>
      </c>
      <c r="S57" s="31">
        <f t="shared" si="15"/>
        <v>4373.166549476271</v>
      </c>
      <c r="T57" s="31">
        <f t="shared" si="15"/>
        <v>4337.5894047967886</v>
      </c>
      <c r="U57" s="31">
        <f t="shared" si="15"/>
        <v>4301.461514188406</v>
      </c>
      <c r="V57" s="31">
        <f t="shared" si="15"/>
        <v>4264.7467435755416</v>
      </c>
      <c r="W57" s="66">
        <f t="shared" si="15"/>
        <v>4227.4072123562892</v>
      </c>
    </row>
    <row r="59" spans="1:23" x14ac:dyDescent="0.35">
      <c r="A59" s="14" t="s">
        <v>35</v>
      </c>
      <c r="B59" s="14"/>
    </row>
    <row r="60" spans="1:23" ht="15" thickBot="1" x14ac:dyDescent="0.4"/>
    <row r="61" spans="1:23" x14ac:dyDescent="0.35">
      <c r="A61" s="76" t="s">
        <v>53</v>
      </c>
      <c r="B61" s="77"/>
      <c r="C61" s="18">
        <f t="shared" ref="C61:W61" si="16">C49/(1+$B$5)^C42</f>
        <v>1000</v>
      </c>
      <c r="D61" s="18">
        <f t="shared" si="16"/>
        <v>4583.3211009174302</v>
      </c>
      <c r="E61" s="18">
        <f t="shared" si="16"/>
        <v>4184.7319249221446</v>
      </c>
      <c r="F61" s="18">
        <f t="shared" si="16"/>
        <v>3820.8469308409303</v>
      </c>
      <c r="G61" s="18">
        <f t="shared" si="16"/>
        <v>3488.6410619503599</v>
      </c>
      <c r="H61" s="18">
        <f t="shared" si="16"/>
        <v>3185.3532374581764</v>
      </c>
      <c r="I61" s="18">
        <f t="shared" si="16"/>
        <v>2908.4632926018953</v>
      </c>
      <c r="J61" s="18">
        <f t="shared" si="16"/>
        <v>2655.6709352357634</v>
      </c>
      <c r="K61" s="18">
        <f t="shared" si="16"/>
        <v>2424.8765423991517</v>
      </c>
      <c r="L61" s="18">
        <f t="shared" si="16"/>
        <v>2214.1636358240326</v>
      </c>
      <c r="M61" s="18">
        <f t="shared" si="16"/>
        <v>2021.7828894476017</v>
      </c>
      <c r="N61" s="18">
        <f t="shared" si="16"/>
        <v>1846.1375348674542</v>
      </c>
      <c r="O61" s="18">
        <f t="shared" si="16"/>
        <v>1685.7700424194454</v>
      </c>
      <c r="P61" s="18">
        <f t="shared" si="16"/>
        <v>1539.3499662716508</v>
      </c>
      <c r="Q61" s="18">
        <f t="shared" si="16"/>
        <v>1405.6628517019076</v>
      </c>
      <c r="R61" s="18">
        <f t="shared" si="16"/>
        <v>1283.6001116437374</v>
      </c>
      <c r="S61" s="18">
        <f t="shared" si="16"/>
        <v>1172.1497877211609</v>
      </c>
      <c r="T61" s="18">
        <f t="shared" si="16"/>
        <v>1070.3881184156107</v>
      </c>
      <c r="U61" s="18">
        <f t="shared" si="16"/>
        <v>977.47184378032796</v>
      </c>
      <c r="V61" s="18">
        <f t="shared" si="16"/>
        <v>892.63118229641384</v>
      </c>
      <c r="W61" s="18">
        <f t="shared" si="16"/>
        <v>815.16342110209166</v>
      </c>
    </row>
    <row r="62" spans="1:23" x14ac:dyDescent="0.35">
      <c r="A62" s="78" t="s">
        <v>54</v>
      </c>
      <c r="B62" s="79"/>
      <c r="C62" s="3">
        <f t="shared" ref="C62:W62" si="17">C55/(1+$B$5)^C42</f>
        <v>15011.986499999999</v>
      </c>
      <c r="D62" s="3">
        <f t="shared" si="17"/>
        <v>123.8405642201835</v>
      </c>
      <c r="E62" s="3">
        <f t="shared" si="17"/>
        <v>119.29595635889235</v>
      </c>
      <c r="F62" s="3">
        <f t="shared" si="17"/>
        <v>114.91812309801557</v>
      </c>
      <c r="G62" s="3">
        <f t="shared" si="17"/>
        <v>110.70094426873059</v>
      </c>
      <c r="H62" s="3">
        <f t="shared" si="17"/>
        <v>106.63852429556616</v>
      </c>
      <c r="I62" s="3">
        <f t="shared" si="17"/>
        <v>102.72518395444447</v>
      </c>
      <c r="J62" s="3">
        <f t="shared" si="17"/>
        <v>98.955452433180454</v>
      </c>
      <c r="K62" s="3">
        <f t="shared" si="17"/>
        <v>95.324059683338973</v>
      </c>
      <c r="L62" s="3">
        <f t="shared" si="17"/>
        <v>91.825929052757729</v>
      </c>
      <c r="M62" s="3">
        <f t="shared" si="17"/>
        <v>88.456170188436346</v>
      </c>
      <c r="N62" s="3">
        <f t="shared" si="17"/>
        <v>85.21007219986987</v>
      </c>
      <c r="O62" s="3">
        <f t="shared" si="17"/>
        <v>82.083097073269144</v>
      </c>
      <c r="P62" s="3">
        <f t="shared" si="17"/>
        <v>79.070873327461086</v>
      </c>
      <c r="Q62" s="3">
        <f t="shared" si="17"/>
        <v>76.169189902600138</v>
      </c>
      <c r="R62" s="3">
        <f t="shared" si="17"/>
        <v>73.373990273146916</v>
      </c>
      <c r="S62" s="3">
        <f t="shared" si="17"/>
        <v>70.681366776884644</v>
      </c>
      <c r="T62" s="3">
        <f t="shared" si="17"/>
        <v>68.087555152044843</v>
      </c>
      <c r="U62" s="3">
        <f t="shared" si="17"/>
        <v>65.588929274905567</v>
      </c>
      <c r="V62" s="3">
        <f t="shared" si="17"/>
        <v>63.181996090505372</v>
      </c>
      <c r="W62" s="3">
        <f t="shared" si="17"/>
        <v>60.86339072938592</v>
      </c>
    </row>
    <row r="63" spans="1:23" ht="15" thickBot="1" x14ac:dyDescent="0.4">
      <c r="A63" s="73" t="s">
        <v>55</v>
      </c>
      <c r="B63" s="74"/>
      <c r="C63" s="19">
        <f t="shared" ref="C63:W63" si="18">C57/(1+$B$5)^C42</f>
        <v>-14011.986499999999</v>
      </c>
      <c r="D63" s="19">
        <f t="shared" si="18"/>
        <v>4459.4805366972469</v>
      </c>
      <c r="E63" s="19">
        <f t="shared" si="18"/>
        <v>4065.4359685632517</v>
      </c>
      <c r="F63" s="19">
        <f t="shared" si="18"/>
        <v>3705.9288077429146</v>
      </c>
      <c r="G63" s="19">
        <f t="shared" si="18"/>
        <v>3377.9401176816295</v>
      </c>
      <c r="H63" s="19">
        <f t="shared" si="18"/>
        <v>3078.7147131626102</v>
      </c>
      <c r="I63" s="19">
        <f t="shared" si="18"/>
        <v>2805.7381086474511</v>
      </c>
      <c r="J63" s="19">
        <f t="shared" si="18"/>
        <v>2556.7154828025828</v>
      </c>
      <c r="K63" s="19">
        <f t="shared" si="18"/>
        <v>2329.5524827158129</v>
      </c>
      <c r="L63" s="19">
        <f t="shared" si="18"/>
        <v>2122.3377067712745</v>
      </c>
      <c r="M63" s="19">
        <f t="shared" si="18"/>
        <v>1933.3267192591654</v>
      </c>
      <c r="N63" s="19">
        <f t="shared" si="18"/>
        <v>1760.9274626675842</v>
      </c>
      <c r="O63" s="19">
        <f t="shared" si="18"/>
        <v>1603.6869453461761</v>
      </c>
      <c r="P63" s="19">
        <f t="shared" si="18"/>
        <v>1460.2790929441896</v>
      </c>
      <c r="Q63" s="19">
        <f t="shared" si="18"/>
        <v>1329.4936617993076</v>
      </c>
      <c r="R63" s="19">
        <f t="shared" si="18"/>
        <v>1210.2261213705904</v>
      </c>
      <c r="S63" s="19">
        <f t="shared" si="18"/>
        <v>1101.4684209442762</v>
      </c>
      <c r="T63" s="19">
        <f t="shared" si="18"/>
        <v>1002.3005632635659</v>
      </c>
      <c r="U63" s="19">
        <f t="shared" si="18"/>
        <v>911.88291450542226</v>
      </c>
      <c r="V63" s="19">
        <f t="shared" si="18"/>
        <v>829.44918620590852</v>
      </c>
      <c r="W63" s="19">
        <f t="shared" si="18"/>
        <v>754.30003037270581</v>
      </c>
    </row>
    <row r="64" spans="1:23" ht="15" thickBot="1" x14ac:dyDescent="0.4">
      <c r="A64" s="80" t="s">
        <v>56</v>
      </c>
      <c r="B64" s="80"/>
      <c r="C64" s="17">
        <f>C63</f>
        <v>-14011.986499999999</v>
      </c>
      <c r="D64" s="17">
        <f>C64+D63</f>
        <v>-9552.5059633027522</v>
      </c>
      <c r="E64" s="17">
        <f t="shared" ref="E64:W64" si="19">D64+E63</f>
        <v>-5487.0699947395005</v>
      </c>
      <c r="F64" s="17">
        <f t="shared" si="19"/>
        <v>-1781.1411869965859</v>
      </c>
      <c r="G64" s="17">
        <f t="shared" si="19"/>
        <v>1596.7989306850436</v>
      </c>
      <c r="H64" s="17">
        <f t="shared" si="19"/>
        <v>4675.5136438476538</v>
      </c>
      <c r="I64" s="17">
        <f t="shared" si="19"/>
        <v>7481.2517524951054</v>
      </c>
      <c r="J64" s="17">
        <f t="shared" si="19"/>
        <v>10037.967235297689</v>
      </c>
      <c r="K64" s="17">
        <f t="shared" si="19"/>
        <v>12367.519718013502</v>
      </c>
      <c r="L64" s="17">
        <f t="shared" si="19"/>
        <v>14489.857424784776</v>
      </c>
      <c r="M64" s="17">
        <f t="shared" si="19"/>
        <v>16423.184144043942</v>
      </c>
      <c r="N64" s="17">
        <f t="shared" si="19"/>
        <v>18184.111606711525</v>
      </c>
      <c r="O64" s="17">
        <f t="shared" si="19"/>
        <v>19787.798552057702</v>
      </c>
      <c r="P64" s="17">
        <f t="shared" si="19"/>
        <v>21248.077645001893</v>
      </c>
      <c r="Q64" s="17">
        <f t="shared" si="19"/>
        <v>22577.571306801201</v>
      </c>
      <c r="R64" s="17">
        <f t="shared" si="19"/>
        <v>23787.797428171791</v>
      </c>
      <c r="S64" s="17">
        <f t="shared" si="19"/>
        <v>24889.265849116066</v>
      </c>
      <c r="T64" s="17">
        <f t="shared" si="19"/>
        <v>25891.56641237963</v>
      </c>
      <c r="U64" s="17">
        <f t="shared" si="19"/>
        <v>26803.449326885053</v>
      </c>
      <c r="V64" s="17">
        <f t="shared" si="19"/>
        <v>27632.89851309096</v>
      </c>
      <c r="W64" s="17">
        <f t="shared" si="19"/>
        <v>28387.198543463666</v>
      </c>
    </row>
    <row r="65" spans="1:23" x14ac:dyDescent="0.35">
      <c r="A65" s="16"/>
      <c r="B65" s="1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x14ac:dyDescent="0.35">
      <c r="A66" s="15" t="s">
        <v>36</v>
      </c>
      <c r="B66" s="15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x14ac:dyDescent="0.35">
      <c r="A67" s="16"/>
      <c r="B67" s="1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x14ac:dyDescent="0.35">
      <c r="A68" s="72" t="s">
        <v>57</v>
      </c>
      <c r="B68" s="72"/>
      <c r="C68" s="1">
        <f>C64</f>
        <v>-14011.986499999999</v>
      </c>
      <c r="D68" s="1">
        <f t="shared" ref="D68:W68" si="20">D64</f>
        <v>-9552.5059633027522</v>
      </c>
      <c r="E68" s="1">
        <f t="shared" si="20"/>
        <v>-5487.0699947395005</v>
      </c>
      <c r="F68" s="1">
        <f t="shared" si="20"/>
        <v>-1781.1411869965859</v>
      </c>
      <c r="G68" s="1">
        <f t="shared" si="20"/>
        <v>1596.7989306850436</v>
      </c>
      <c r="H68" s="1">
        <f t="shared" si="20"/>
        <v>4675.5136438476538</v>
      </c>
      <c r="I68" s="1">
        <f t="shared" si="20"/>
        <v>7481.2517524951054</v>
      </c>
      <c r="J68" s="1">
        <f t="shared" si="20"/>
        <v>10037.967235297689</v>
      </c>
      <c r="K68" s="1">
        <f t="shared" si="20"/>
        <v>12367.519718013502</v>
      </c>
      <c r="L68" s="1">
        <f t="shared" si="20"/>
        <v>14489.857424784776</v>
      </c>
      <c r="M68" s="1">
        <f t="shared" si="20"/>
        <v>16423.184144043942</v>
      </c>
      <c r="N68" s="1">
        <f t="shared" si="20"/>
        <v>18184.111606711525</v>
      </c>
      <c r="O68" s="1">
        <f t="shared" si="20"/>
        <v>19787.798552057702</v>
      </c>
      <c r="P68" s="1">
        <f t="shared" si="20"/>
        <v>21248.077645001893</v>
      </c>
      <c r="Q68" s="1">
        <f t="shared" si="20"/>
        <v>22577.571306801201</v>
      </c>
      <c r="R68" s="1">
        <f t="shared" si="20"/>
        <v>23787.797428171791</v>
      </c>
      <c r="S68" s="1">
        <f t="shared" si="20"/>
        <v>24889.265849116066</v>
      </c>
      <c r="T68" s="1">
        <f t="shared" si="20"/>
        <v>25891.56641237963</v>
      </c>
      <c r="U68" s="1">
        <f t="shared" si="20"/>
        <v>26803.449326885053</v>
      </c>
      <c r="V68" s="1">
        <f t="shared" si="20"/>
        <v>27632.89851309096</v>
      </c>
      <c r="W68" s="1">
        <f t="shared" si="20"/>
        <v>28387.198543463666</v>
      </c>
    </row>
    <row r="69" spans="1:23" x14ac:dyDescent="0.35">
      <c r="A69" s="10" t="s">
        <v>8</v>
      </c>
      <c r="B69" s="25" cm="1">
        <f t="array" ref="B69">MAX(IF(C68:W68&lt;0,COLUMN(C68:W68)-COLUMN(C68)))</f>
        <v>3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x14ac:dyDescent="0.35">
      <c r="A70" s="10" t="s">
        <v>10</v>
      </c>
      <c r="B70" s="25" cm="1">
        <f t="array" ref="B70">INDEX(C68:W68,B69+1)</f>
        <v>-1781.1411869965859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x14ac:dyDescent="0.35">
      <c r="A71" s="1" t="s">
        <v>9</v>
      </c>
      <c r="B71" s="25" cm="1">
        <f t="array" ref="B71">INDEX(C68:W68,B69+2)</f>
        <v>1596.7989306850436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x14ac:dyDescent="0.35">
      <c r="A72" s="3" t="s">
        <v>5</v>
      </c>
      <c r="B72" s="3">
        <f>B69+ABS(B70)/(ABS(B70)+B71)</f>
        <v>3.5272861936401143</v>
      </c>
      <c r="C72" s="24"/>
    </row>
    <row r="73" spans="1:23" x14ac:dyDescent="0.35">
      <c r="A73" s="21"/>
      <c r="B73" s="22"/>
      <c r="C73" s="23"/>
      <c r="D73" s="23"/>
    </row>
    <row r="74" spans="1:23" x14ac:dyDescent="0.35">
      <c r="A74" s="69" t="s">
        <v>4</v>
      </c>
      <c r="B74" s="69"/>
      <c r="C74" s="20">
        <f>C57</f>
        <v>-14011.986499999999</v>
      </c>
      <c r="D74" s="2">
        <f t="shared" ref="D74:W74" si="21">C74+D57</f>
        <v>-9151.1527150000002</v>
      </c>
      <c r="E74" s="2">
        <f t="shared" si="21"/>
        <v>-4321.0082407500004</v>
      </c>
      <c r="F74" s="2">
        <f t="shared" si="21"/>
        <v>478.27703721249964</v>
      </c>
      <c r="G74" s="2">
        <f t="shared" si="21"/>
        <v>5246.5151870131249</v>
      </c>
      <c r="H74" s="2">
        <f t="shared" si="21"/>
        <v>9983.4993949882009</v>
      </c>
      <c r="I74" s="2">
        <f t="shared" si="21"/>
        <v>14689.003087991659</v>
      </c>
      <c r="J74" s="2">
        <f t="shared" si="21"/>
        <v>19362.779011352512</v>
      </c>
      <c r="K74" s="2">
        <f t="shared" si="21"/>
        <v>24004.558260268677</v>
      </c>
      <c r="L74" s="2">
        <f t="shared" si="21"/>
        <v>28614.049262312212</v>
      </c>
      <c r="M74" s="2">
        <f t="shared" si="21"/>
        <v>33190.936708604713</v>
      </c>
      <c r="N74" s="2">
        <f t="shared" si="21"/>
        <v>37734.880431099606</v>
      </c>
      <c r="O74" s="2">
        <f t="shared" si="21"/>
        <v>42245.514223279788</v>
      </c>
      <c r="P74" s="2">
        <f t="shared" si="21"/>
        <v>46722.4446014446</v>
      </c>
      <c r="Q74" s="2">
        <f t="shared" si="21"/>
        <v>51165.249503618652</v>
      </c>
      <c r="R74" s="2">
        <f t="shared" si="21"/>
        <v>55573.476922966693</v>
      </c>
      <c r="S74" s="2">
        <f t="shared" si="21"/>
        <v>59946.643472442964</v>
      </c>
      <c r="T74" s="2">
        <f t="shared" si="21"/>
        <v>64284.232877239752</v>
      </c>
      <c r="U74" s="2">
        <f t="shared" si="21"/>
        <v>68585.694391428158</v>
      </c>
      <c r="V74" s="2">
        <f t="shared" si="21"/>
        <v>72850.441135003697</v>
      </c>
      <c r="W74" s="2">
        <f t="shared" si="21"/>
        <v>77077.848347359992</v>
      </c>
    </row>
    <row r="75" spans="1:23" x14ac:dyDescent="0.35">
      <c r="A75" s="10" t="s">
        <v>8</v>
      </c>
      <c r="B75" s="26" cm="1">
        <f t="array" ref="B75">MAX(IF(C74:W74&lt;0,COLUMN(C74:W74)-COLUMN(C74)))</f>
        <v>2</v>
      </c>
      <c r="C75" s="24"/>
    </row>
    <row r="76" spans="1:23" x14ac:dyDescent="0.35">
      <c r="A76" s="10" t="s">
        <v>10</v>
      </c>
      <c r="B76" s="26" cm="1">
        <f t="array" ref="B76">INDEX(C74:W74,B75+1)</f>
        <v>-4321.0082407500004</v>
      </c>
      <c r="C76" s="24"/>
    </row>
    <row r="77" spans="1:23" x14ac:dyDescent="0.35">
      <c r="A77" s="1" t="s">
        <v>9</v>
      </c>
      <c r="B77" s="26" cm="1">
        <f t="array" ref="B77">INDEX(C74:W74,B75+2)</f>
        <v>478.27703721249964</v>
      </c>
      <c r="C77" s="24"/>
    </row>
    <row r="78" spans="1:23" x14ac:dyDescent="0.35">
      <c r="A78" s="3" t="s">
        <v>6</v>
      </c>
      <c r="B78" s="3">
        <f>B75+ABS(B76)/(ABS(B76)+B77)</f>
        <v>2.9003441117766711</v>
      </c>
      <c r="C78" s="7"/>
      <c r="D78" s="7"/>
    </row>
    <row r="79" spans="1:23" x14ac:dyDescent="0.35">
      <c r="A79" s="16"/>
      <c r="B79" s="1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x14ac:dyDescent="0.35">
      <c r="A80" s="15" t="s">
        <v>37</v>
      </c>
      <c r="B80" s="15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x14ac:dyDescent="0.35">
      <c r="B81" s="1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x14ac:dyDescent="0.35">
      <c r="A82" s="75" t="s">
        <v>58</v>
      </c>
      <c r="B82" s="75"/>
      <c r="C82" s="13">
        <f>SUM(C63:W63)</f>
        <v>28387.198543463666</v>
      </c>
    </row>
    <row r="83" spans="1:23" x14ac:dyDescent="0.35">
      <c r="A83" s="71" t="s">
        <v>59</v>
      </c>
      <c r="B83" s="71"/>
      <c r="C83" s="4">
        <f>SUM(C61:W61)/SUM(C62:W62)</f>
        <v>2.6908235132629565</v>
      </c>
    </row>
    <row r="84" spans="1:23" x14ac:dyDescent="0.35">
      <c r="A84" s="71" t="s">
        <v>60</v>
      </c>
      <c r="B84" s="71"/>
      <c r="C84" s="5">
        <f>IRR(C57:W57)</f>
        <v>0.33947034593983982</v>
      </c>
    </row>
    <row r="85" spans="1:23" x14ac:dyDescent="0.35">
      <c r="A85" s="71" t="s">
        <v>2</v>
      </c>
      <c r="B85" s="71"/>
      <c r="C85" s="6">
        <f>ROUND(B72,2)</f>
        <v>3.53</v>
      </c>
    </row>
    <row r="86" spans="1:23" x14ac:dyDescent="0.35">
      <c r="A86" s="71" t="s">
        <v>3</v>
      </c>
      <c r="B86" s="71"/>
      <c r="C86" s="6">
        <f>ROUND(B78,2)</f>
        <v>2.9</v>
      </c>
    </row>
  </sheetData>
  <mergeCells count="12">
    <mergeCell ref="A74:B74"/>
    <mergeCell ref="A1:W1"/>
    <mergeCell ref="A86:B86"/>
    <mergeCell ref="A68:B68"/>
    <mergeCell ref="A63:B63"/>
    <mergeCell ref="A82:B82"/>
    <mergeCell ref="A83:B83"/>
    <mergeCell ref="A84:B84"/>
    <mergeCell ref="A85:B85"/>
    <mergeCell ref="A61:B61"/>
    <mergeCell ref="A62:B62"/>
    <mergeCell ref="A64:B64"/>
  </mergeCells>
  <pageMargins left="0.7" right="0.7" top="0.75" bottom="0.75" header="0.3" footer="0.3"/>
  <pageSetup orientation="portrait" r:id="rId1"/>
  <ignoredErrors>
    <ignoredError sqref="E3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EBCA</vt:lpstr>
      <vt:lpstr>AvoidFuelCost</vt:lpstr>
      <vt:lpstr>CapitalCost</vt:lpstr>
      <vt:lpstr>CO2Avoided</vt:lpstr>
      <vt:lpstr>DiscountedEPBP</vt:lpstr>
      <vt:lpstr>DiscountRate</vt:lpstr>
      <vt:lpstr>EBCR</vt:lpstr>
      <vt:lpstr>EfficiencyDerate</vt:lpstr>
      <vt:lpstr>EIRR</vt:lpstr>
      <vt:lpstr>EmpIncomePerJob</vt:lpstr>
      <vt:lpstr>EmpJobsAfteryr0</vt:lpstr>
      <vt:lpstr>EmpJobsForyr0</vt:lpstr>
      <vt:lpstr>ENPV</vt:lpstr>
      <vt:lpstr>EnvBenifit</vt:lpstr>
      <vt:lpstr>EnvImpactCostyr0</vt:lpstr>
      <vt:lpstr>Generation</vt:lpstr>
      <vt:lpstr>LossOfRoyaltyRevenue</vt:lpstr>
      <vt:lpstr>ModuleDegradation</vt:lpstr>
      <vt:lpstr>OandMescalation</vt:lpstr>
      <vt:lpstr>OandMyr1</vt:lpstr>
      <vt:lpstr>ShadowExchRateFact</vt:lpstr>
      <vt:lpstr>ShadWageRateFac</vt:lpstr>
      <vt:lpstr>SimpleEPBP</vt:lpstr>
      <vt:lpstr>SocialCostOfCarbon</vt:lpstr>
      <vt:lpstr>StandConvFact</vt:lpstr>
      <vt:lpstr>Tariff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H.P.Sandun Premakumara</cp:lastModifiedBy>
  <dcterms:created xsi:type="dcterms:W3CDTF">2025-10-04T15:32:28Z</dcterms:created>
  <dcterms:modified xsi:type="dcterms:W3CDTF">2025-10-06T05:56:19Z</dcterms:modified>
</cp:coreProperties>
</file>